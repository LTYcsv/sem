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shot17/Desktop/"/>
    </mc:Choice>
  </mc:AlternateContent>
  <xr:revisionPtr revIDLastSave="0" documentId="13_ncr:1_{5A90490C-00F5-B24D-B125-B77CFE2434C6}" xr6:coauthVersionLast="47" xr6:coauthVersionMax="47" xr10:uidLastSave="{00000000-0000-0000-0000-000000000000}"/>
  <bookViews>
    <workbookView xWindow="3840" yWindow="1980" windowWidth="27840" windowHeight="17800" tabRatio="500" activeTab="3" xr2:uid="{00000000-000D-0000-FFFF-FFFF00000000}"/>
  </bookViews>
  <sheets>
    <sheet name="Города" sheetId="1" r:id="rId1"/>
    <sheet name="Уникальные показатели" sheetId="2" r:id="rId2"/>
    <sheet name="Описания и сигналы" sheetId="3" r:id="rId3"/>
    <sheet name="Меры" sheetId="4" r:id="rId4"/>
    <sheet name="Джокеры" sheetId="5" r:id="rId5"/>
    <sheet name="Правила модели"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5" i="4" l="1"/>
  <c r="D20" i="1"/>
  <c r="E21" i="1"/>
  <c r="E21" i="4"/>
  <c r="D21" i="4"/>
  <c r="C21" i="4"/>
  <c r="P20" i="4"/>
  <c r="G20" i="4"/>
  <c r="P19" i="4"/>
  <c r="G19" i="4"/>
  <c r="P18" i="4"/>
  <c r="G18" i="4"/>
  <c r="P17" i="4"/>
  <c r="G17" i="4"/>
  <c r="P16" i="4"/>
  <c r="G16" i="4"/>
  <c r="P15" i="4"/>
  <c r="G15" i="4"/>
  <c r="P14" i="4"/>
  <c r="G14" i="4"/>
  <c r="P13" i="4"/>
  <c r="G13" i="4"/>
  <c r="P12" i="4"/>
  <c r="G12" i="4"/>
  <c r="P11" i="4"/>
  <c r="G11" i="4"/>
  <c r="P10" i="4"/>
  <c r="G10" i="4"/>
  <c r="P9" i="4"/>
  <c r="G9" i="4"/>
  <c r="P8" i="4"/>
  <c r="G8" i="4"/>
  <c r="P7" i="4"/>
  <c r="G7" i="4"/>
  <c r="P6" i="4"/>
  <c r="G6" i="4"/>
  <c r="G5" i="4"/>
  <c r="D21" i="1"/>
  <c r="C21" i="1"/>
  <c r="B21" i="1"/>
  <c r="E20" i="1"/>
  <c r="C20" i="1"/>
  <c r="B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9" authorId="0" shapeId="0" xr:uid="{00000000-0006-0000-0000-000001000000}">
      <text>
        <r>
          <rPr>
            <sz val="10"/>
            <color rgb="FF000000"/>
            <rFont val="Arial"/>
            <family val="2"/>
          </rPr>
          <t>Добавлено при сведении данных: в исходном файле для Новой долины был указан только средний возраст (34 года). Подтвердить.</t>
        </r>
      </text>
    </comment>
    <comment ref="D9" authorId="0" shapeId="0" xr:uid="{00000000-0006-0000-0000-000002000000}">
      <text>
        <r>
          <rPr>
            <sz val="10"/>
            <color rgb="FF000000"/>
            <rFont val="Arial"/>
            <family val="2"/>
          </rPr>
          <t>Добавлено при сведении данных, подтвердить.</t>
        </r>
      </text>
    </comment>
    <comment ref="E9" authorId="0" shapeId="0" xr:uid="{00000000-0006-0000-0000-000004000000}">
      <text>
        <r>
          <rPr>
            <sz val="10"/>
            <color rgb="FF000000"/>
            <rFont val="Arial"/>
            <family val="2"/>
          </rPr>
          <t>Добавлено при сведении данных, подтвердить.</t>
        </r>
      </text>
    </comment>
    <comment ref="D10" authorId="0" shapeId="0" xr:uid="{00000000-0006-0000-0000-000003000000}">
      <text>
        <r>
          <rPr>
            <sz val="10"/>
            <color rgb="FF000000"/>
            <rFont val="Arial"/>
            <family val="2"/>
          </rPr>
          <t>Добавлено при сведении данных (в исходном файле безработица для Северного берега не указана), подтвердить.</t>
        </r>
      </text>
    </comment>
  </commentList>
</comments>
</file>

<file path=xl/sharedStrings.xml><?xml version="1.0" encoding="utf-8"?>
<sst xmlns="http://schemas.openxmlformats.org/spreadsheetml/2006/main" count="548" uniqueCount="329">
  <si>
    <t>Города игры «Форсайт» — учебные данные (все города и показатели вымышленные)</t>
  </si>
  <si>
    <t>Показатель</t>
  </si>
  <si>
    <t>1. ПРОМГРАД</t>
  </si>
  <si>
    <t>2. НОВАЯ ДОЛИНА</t>
  </si>
  <si>
    <t>3. СЕВЕРНЫЙ БЕРЕГ</t>
  </si>
  <si>
    <t>4. МОНОГРАД</t>
  </si>
  <si>
    <t>Тип города</t>
  </si>
  <si>
    <t>Индустриальный центр под давлением автоматизации</t>
  </si>
  <si>
    <t>Быстрорастущий город агломерации</t>
  </si>
  <si>
    <t>Туристический город с высокой климатической уязвимостью</t>
  </si>
  <si>
    <t>Моногород в поиске новой экономической модели</t>
  </si>
  <si>
    <t>Общие показатели</t>
  </si>
  <si>
    <t>Население, тыс. чел.</t>
  </si>
  <si>
    <t>Динамика населения за 5 лет</t>
  </si>
  <si>
    <t>Доля населения 65+</t>
  </si>
  <si>
    <t>Безработица</t>
  </si>
  <si>
    <t>Ключевая специализация</t>
  </si>
  <si>
    <t>машиностроение, металлургия, логистика</t>
  </si>
  <si>
    <t>IT, услуги, логистика, строительство</t>
  </si>
  <si>
    <t>туризм, сервисы, креативная экономика</t>
  </si>
  <si>
    <t>химическая промышленность</t>
  </si>
  <si>
    <t>Стартовый бюджет, у.е.</t>
  </si>
  <si>
    <t>Стартовые позиции (шкала 1–10)</t>
  </si>
  <si>
    <t>Экономика</t>
  </si>
  <si>
    <t>Социальная устойчивость</t>
  </si>
  <si>
    <t>Инфраструктура</t>
  </si>
  <si>
    <t>Экология</t>
  </si>
  <si>
    <t>Человеческий капитал</t>
  </si>
  <si>
    <t>Адаптивность</t>
  </si>
  <si>
    <t>Сумма позиций</t>
  </si>
  <si>
    <t>Среднее по шести показателям</t>
  </si>
  <si>
    <t>Уникальные показатели городов (учебные данные)</t>
  </si>
  <si>
    <t>Город</t>
  </si>
  <si>
    <t>Значение</t>
  </si>
  <si>
    <t>Пояснение</t>
  </si>
  <si>
    <t>Промград</t>
  </si>
  <si>
    <t>Доля двух крупнейших работодателей</t>
  </si>
  <si>
    <t>промышленной занятости</t>
  </si>
  <si>
    <t>Износ коммунальных сетей</t>
  </si>
  <si>
    <t>Доля доходов бюджета от 5 крупнейших налогоплательщиков</t>
  </si>
  <si>
    <t>Новая долина</t>
  </si>
  <si>
    <t>Средний возраст</t>
  </si>
  <si>
    <t>лет</t>
  </si>
  <si>
    <t>Доля занятых в IT и услугах</t>
  </si>
  <si>
    <t>Дефицит мест в школах</t>
  </si>
  <si>
    <t>Среднее время поездки в час пик</t>
  </si>
  <si>
    <t>минут</t>
  </si>
  <si>
    <t>Северный берег</t>
  </si>
  <si>
    <t>Доля туризма и услуг в занятости</t>
  </si>
  <si>
    <t>Сезонность налоговых поступлений</t>
  </si>
  <si>
    <t>высокая</t>
  </si>
  <si>
    <t>Площадь территорий в зоне подтопления</t>
  </si>
  <si>
    <t>городской застройки</t>
  </si>
  <si>
    <t>Доля малого бизнеса</t>
  </si>
  <si>
    <t>Доходы бюджета на душу населения</t>
  </si>
  <si>
    <t>ниже среднего</t>
  </si>
  <si>
    <t>Моноград</t>
  </si>
  <si>
    <t>Доля градообразующего предприятия</t>
  </si>
  <si>
    <t>занятости</t>
  </si>
  <si>
    <t>Доля молодежи 18–30</t>
  </si>
  <si>
    <t>Свободные промышленные площади</t>
  </si>
  <si>
    <t>Износ жилищного фонда</t>
  </si>
  <si>
    <t>Описания городов, информационные сигналы и уязвимости (для ведущих)</t>
  </si>
  <si>
    <t>Раздел «Уязвимость» — только для ведущих, командам не показывать и не выдавать как готовый ответ. Игра скрывает эти строки от команд.</t>
  </si>
  <si>
    <t>Раздел</t>
  </si>
  <si>
    <t>Текст</t>
  </si>
  <si>
    <t>Видно командам?</t>
  </si>
  <si>
    <t>Ситуация</t>
  </si>
  <si>
    <t>Крупный промышленный город с развитой инженерной школой и устойчивой налоговой базой. Два предприятия обеспечивают почти половину промышленной занятости и значительную часть бюджета. Производство активно внедряет роботизацию. Население стареет, часть молодых специалистов уезжает в мегаполисы. Коммунальные сети изношены, экологическая повестка становится все заметнее.</t>
  </si>
  <si>
    <t>Да</t>
  </si>
  <si>
    <t>Сигнал 1</t>
  </si>
  <si>
    <t>Предприятие №1 объявило программу роботизации на 7 лет.</t>
  </si>
  <si>
    <t>Сигнал 2</t>
  </si>
  <si>
    <t>Местный колледж фиксирует падение набора на традиционные рабочие специальности.</t>
  </si>
  <si>
    <t>Сигнал 3</t>
  </si>
  <si>
    <t>В промышленной зоне вырос интерес к аренде площадей со стороны небольших технологических компаний.</t>
  </si>
  <si>
    <t>Сигнал 4</t>
  </si>
  <si>
    <t>Число обращений по качеству воздуха за три года выросло на 40%.</t>
  </si>
  <si>
    <t>Сигнал 5</t>
  </si>
  <si>
    <t>Средний возраст работников ЖКХ превысил 49 лет.</t>
  </si>
  <si>
    <t>Сигнал 6</t>
  </si>
  <si>
    <t>Банк развития обсуждает льготное финансирование модернизации энергоемких производств.</t>
  </si>
  <si>
    <t>Уязвимость 1 (для ведущих)</t>
  </si>
  <si>
    <t>зависимость от крупных предприятий</t>
  </si>
  <si>
    <t>Нет</t>
  </si>
  <si>
    <t>Уязвимость 2 (для ведущих)</t>
  </si>
  <si>
    <t>риск высвобождения работников из-за автоматизации</t>
  </si>
  <si>
    <t>Уязвимость 3 (для ведущих)</t>
  </si>
  <si>
    <t>износ коммунальной инфраструктуры</t>
  </si>
  <si>
    <t>Уязвимость 4 (для ведущих)</t>
  </si>
  <si>
    <t>экологическая нагрузка</t>
  </si>
  <si>
    <t>Уязвимость 5 (для ведущих)</t>
  </si>
  <si>
    <t>отток молодых специалистов</t>
  </si>
  <si>
    <t>Молодой город-спутник крупной агломерации. Население быстро растет за счет миграции и новых жилых проектов. Сильны IT, услуги, онлайн-торговля и малый бизнес. Главная проблема — инфраструктура не успевает за ростом: школы переполнены, пробки усиливаются, поликлиники работают на пределе. Доходы бюджета растут, но капитальные расходы еще быстрее.</t>
  </si>
  <si>
    <t>Девелоперы заявили проекты еще на 25 тыс. квартир.</t>
  </si>
  <si>
    <t>Удаленная работа стала обычной для 38% высококвалифицированных жителей.</t>
  </si>
  <si>
    <t>В часы пик общественный транспорт перегружен на основных направлениях.</t>
  </si>
  <si>
    <t>Стартапы жалуются на нехватку доступных офисных и лабораторных помещений.</t>
  </si>
  <si>
    <t>Родительские сообщества требуют ускорить строительство школ и поликлиник.</t>
  </si>
  <si>
    <t>Рынок аренды вырос на 23% за два года.</t>
  </si>
  <si>
    <t>инфраструктурное отставание</t>
  </si>
  <si>
    <t>транспортная перегрузка</t>
  </si>
  <si>
    <t>рост стоимости жилья</t>
  </si>
  <si>
    <t>дефицит социальных объектов</t>
  </si>
  <si>
    <t>риск неуправляемого разрастания города</t>
  </si>
  <si>
    <t>Небольшой город на реке и рядом с природным парком. Экономика опирается на туризм, сферу услуг и малый бизнес. Город комфортен для жизни, но бюджет ограничен и сильно зависит от сезонности. В последние годы участились периоды экстремальных осадков и подтопления низких кварталов. Появляются сигналы интереса удаленных работников к переезду.</t>
  </si>
  <si>
    <t>За 10 лет зафиксировано три крупных эпизода подтопления.</t>
  </si>
  <si>
    <t>Число бронирований вне высокого сезона растет второй год подряд.</t>
  </si>
  <si>
    <t>Риелторы фиксируют спрос на жилье со стороны удаленных специалистов из крупных городов.</t>
  </si>
  <si>
    <t>Часть туристической инфраструктуры расположена в пойменной зоне.</t>
  </si>
  <si>
    <t>Местный бизнес просит создать круглогодичные культурные события.</t>
  </si>
  <si>
    <t>Регион обсуждает новый туристический маршрут, который может пройти через город.</t>
  </si>
  <si>
    <t>климатические риски</t>
  </si>
  <si>
    <t>сезонность экономики</t>
  </si>
  <si>
    <t>ограниченный бюджет</t>
  </si>
  <si>
    <t>зависимость от туристического спроса</t>
  </si>
  <si>
    <t>уязвимость при крупных инфраструктурных шоках</t>
  </si>
  <si>
    <t>Город вырос вокруг крупного химического предприятия, которое до сих пор остается основным работодателем. Население сокращается, молодежь уезжает, часть инфраструктуры используется не полностью. При этом есть свободные промышленные площади, сравнительно дешевая недвижимость и сильная профессиональная культура. Власти ищут модель диверсификации.</t>
  </si>
  <si>
    <t>Градообразующее предприятие рассматривает оптимизацию части производств.</t>
  </si>
  <si>
    <t>Два крупных склада в промзоне пустуют больше года.</t>
  </si>
  <si>
    <t>Местный колледж запустил экспериментальную программу по промышленной автоматике.</t>
  </si>
  <si>
    <t>Небольшая группа предпринимателей открыла коворкинг и центр удаленной работы.</t>
  </si>
  <si>
    <t>Каждый третий выпускник школы планирует уехать.</t>
  </si>
  <si>
    <t>Региональные власти готовы софинансировать проекты диверсификации при наличии частного инвестора.</t>
  </si>
  <si>
    <t>монозависимость</t>
  </si>
  <si>
    <t>отток молодежи</t>
  </si>
  <si>
    <t>высокая безработица</t>
  </si>
  <si>
    <t>низкая предпринимательская активность</t>
  </si>
  <si>
    <t>избыточная и изношенная инфраструктура</t>
  </si>
  <si>
    <t>Каталог стратегических мер (учебные данные)</t>
  </si>
  <si>
    <t>Влияние на показатели при полной / запущенной мере (черновик)</t>
  </si>
  <si>
    <t>Код</t>
  </si>
  <si>
    <t>Мера</t>
  </si>
  <si>
    <t>Полная цена, у.е.</t>
  </si>
  <si>
    <t>Сейчас, у.е.</t>
  </si>
  <si>
    <t>Позже, у.е.</t>
  </si>
  <si>
    <t>Можно условной?</t>
  </si>
  <si>
    <t>Проверка: Сейчас+Позже=Полная</t>
  </si>
  <si>
    <t>Пример триггера</t>
  </si>
  <si>
    <t>Эффект (описание)</t>
  </si>
  <si>
    <t>Сумма баллов</t>
  </si>
  <si>
    <t>M1</t>
  </si>
  <si>
    <t>Модернизация коммунальных сетей</t>
  </si>
  <si>
    <t>Износ/аварийность превышает установленный порог</t>
  </si>
  <si>
    <t>Снижает стоимость аварий и повышает надежность базовой инфраструктуры.</t>
  </si>
  <si>
    <t>M2</t>
  </si>
  <si>
    <t>Программа переподготовки и занятости</t>
  </si>
  <si>
    <t>Безработица &gt;10% или предприятие объявляет массовое сокращение</t>
  </si>
  <si>
    <t>Снижает последствия автоматизации и структурной перестройки.</t>
  </si>
  <si>
    <t>M3</t>
  </si>
  <si>
    <t>Климатическая адаптация и защита от подтоплений</t>
  </si>
  <si>
    <t>Два экстремальных эпизода за 3 года или рост зоны риска</t>
  </si>
  <si>
    <t>Снижает ущерб от паводков/жары; полезна для инфраструктуры и качества жизни.</t>
  </si>
  <si>
    <t>M4</t>
  </si>
  <si>
    <t>Кибербезопасность и резервный контур</t>
  </si>
  <si>
    <t>—</t>
  </si>
  <si>
    <t>Снижает ущерб от кибератаки; обеспечивает офлайн-резерв ключевых сервисов.</t>
  </si>
  <si>
    <t>M5</t>
  </si>
  <si>
    <t>Программа удержания и привлечения молодежи</t>
  </si>
  <si>
    <t>Отток 18–30 лет &gt;5% за 2 года</t>
  </si>
  <si>
    <t>Жилье, стажировки, городские сервисы и карьерные траектории.</t>
  </si>
  <si>
    <t>M6</t>
  </si>
  <si>
    <t>Фонд малого бизнеса</t>
  </si>
  <si>
    <t>Закрытие &gt;5% МСП за год или появление крупной возможности для локальных поставщиков</t>
  </si>
  <si>
    <t>Льготное финансирование, акселерация и муниципальный заказ.</t>
  </si>
  <si>
    <t>M7</t>
  </si>
  <si>
    <t>Диверсификация экономики и инвестплощадки</t>
  </si>
  <si>
    <t>Зависимость от одного сектора/работодателя &gt;30% или подтвержден интерес инвестора</t>
  </si>
  <si>
    <t>Подготовка площадок, инфраструктуры и инвестиционных соглашений.</t>
  </si>
  <si>
    <t>M8</t>
  </si>
  <si>
    <t>Адаптивный общественный транспорт</t>
  </si>
  <si>
    <t>Среднее время поездки &gt;60 мин или резкое изменение пассажиропотока</t>
  </si>
  <si>
    <t>Обновление транспорта + маршруты по данным + транспорт по требованию.</t>
  </si>
  <si>
    <t>M9</t>
  </si>
  <si>
    <t>Модернизация социальной инфраструктуры</t>
  </si>
  <si>
    <t>Перегруз школ/поликлиник &gt;10% или доля 65+ &gt;25%</t>
  </si>
  <si>
    <t>Гибкие мощности школ, медицины и социальных сервисов.</t>
  </si>
  <si>
    <t>M10</t>
  </si>
  <si>
    <t>Городская платформа данных</t>
  </si>
  <si>
    <t>Доля цифровых сервисов/датчиков достигает порога или возникает потребность в интеграции данных</t>
  </si>
  <si>
    <t>Единая карта инфраструктуры и аналитика; требует киберзащиты.</t>
  </si>
  <si>
    <t>M11</t>
  </si>
  <si>
    <t>Новый крупный жилой район</t>
  </si>
  <si>
    <t>Устойчивый прирост населения &gt;2% в год 3 года подряд</t>
  </si>
  <si>
    <t>Сценарно зависимая капитальная ставка; повышает предложение жилья, но создает будущие расходы.</t>
  </si>
  <si>
    <t>M12</t>
  </si>
  <si>
    <t>Туристический и событийный кластер</t>
  </si>
  <si>
    <t>Рост турпотока &gt;15% или включение города в крупный маршрут</t>
  </si>
  <si>
    <t>Инфраструктура, события, продвижение, круглогодичные продукты.</t>
  </si>
  <si>
    <t>M13</t>
  </si>
  <si>
    <t>Сине-зеленая инфраструктура</t>
  </si>
  <si>
    <t>Рост климатической нагрузки или реконструкция крупных общественных пространств</t>
  </si>
  <si>
    <t>Озеленение, тень, водопроницаемые покрытия, удержание ливневой воды.</t>
  </si>
  <si>
    <t>M14</t>
  </si>
  <si>
    <t>Технический колледж и партнерства с работодателями</t>
  </si>
  <si>
    <t>Дефицит кадров &gt; установленного порога</t>
  </si>
  <si>
    <t>Короткие программы, дуальное обучение, переподготовка.</t>
  </si>
  <si>
    <t>M15</t>
  </si>
  <si>
    <t>Энергомодернизация объектов</t>
  </si>
  <si>
    <t>Рост тарифов/энергоиздержек &gt;20%</t>
  </si>
  <si>
    <t>Снижает эксплуатационные расходы и повышает устойчивость инфраструктуры.</t>
  </si>
  <si>
    <t>M16</t>
  </si>
  <si>
    <t>Реновация существующего жилого фонда</t>
  </si>
  <si>
    <t>Доля аварийного/изношенного фонда превышает порог</t>
  </si>
  <si>
    <t>Адаптация старого фонда вместо расширения города; полезна при стагнации населения.</t>
  </si>
  <si>
    <t>Итого по каталогу (справочно)</t>
  </si>
  <si>
    <t>Джокеры: две корзины (учебные данные)</t>
  </si>
  <si>
    <t>Каждая команда вытягивает закрыто один негативный джокер, затем один положительный/нейтральный. Ведущий не подбирает джокер под город. Если на расходы не хватает резерва, дефицит уходит в штраф: каждые 5 у.е. дефицита = −1 балл Экономики. Колонки G–H — ЧЕРНОВИК, согласовать. Код нейтрального джокера изменён с J0-8 на J0.</t>
  </si>
  <si>
    <t>Бонус при использовании (черновик)</t>
  </si>
  <si>
    <t>Корзина</t>
  </si>
  <si>
    <t>Название</t>
  </si>
  <si>
    <t>Описание события</t>
  </si>
  <si>
    <t>Базовая стоимость, у.е.</t>
  </si>
  <si>
    <t>Как подготовка меняет эффект / условие использования</t>
  </si>
  <si>
    <t>Показатель бонуса</t>
  </si>
  <si>
    <t>Бонус, баллов</t>
  </si>
  <si>
    <t>J-1</t>
  </si>
  <si>
    <t>Негативный</t>
  </si>
  <si>
    <t>Паводок</t>
  </si>
  <si>
    <t>Экстремальные осадки затопили низкие районы. Базовые экстренные расходы — 25 у.е.</t>
  </si>
  <si>
    <t>M3: расходы снижаются до 8. M13: до 15. Если есть обе меры — до 5.</t>
  </si>
  <si>
    <t>J-2</t>
  </si>
  <si>
    <t>Кибератака</t>
  </si>
  <si>
    <t>Муниципальные системы и часть цифровых сервисов недоступны. Восстановление — 15 у.е.</t>
  </si>
  <si>
    <t>M4: до 5. Если есть M10 без M4 — стоимость возрастает до 20 из-за высокой цифровой зависимости.</t>
  </si>
  <si>
    <t>J-3</t>
  </si>
  <si>
    <t>Отток молодежи</t>
  </si>
  <si>
    <t>За три года город теряет значительную долю молодых специалистов. Реакция — 20 у.е.</t>
  </si>
  <si>
    <t>M5: до 7. M14: до 10. M5+M14: до 5.</t>
  </si>
  <si>
    <t>J-4</t>
  </si>
  <si>
    <t>Закрытие крупного работодателя</t>
  </si>
  <si>
    <t>Крупное предприятие останавливает часть деятельности. Антикризисные расходы — 30 у.е.</t>
  </si>
  <si>
    <t>M2: −10 к расходам; M7: −10; обе меры — расходы 10.</t>
  </si>
  <si>
    <t>J-5</t>
  </si>
  <si>
    <t>Авария коммунальных сетей</t>
  </si>
  <si>
    <t>Крупная авария нарушает тепло/воду в нескольких районах. Расходы — 22 у.е.</t>
  </si>
  <si>
    <t>M1: до 7. M16: до 15. (Случай M1+M16 в исходных данных не описан — уточнить.)</t>
  </si>
  <si>
    <t>J-6</t>
  </si>
  <si>
    <t>Кадровый кризис в соцсфере</t>
  </si>
  <si>
    <t>Город не может закрыть вакансии врачей, учителей и социальных работников. Экстренная программа — 18 у.е.</t>
  </si>
  <si>
    <t>M9: до 10. M14: до 8. Обе — до 5.</t>
  </si>
  <si>
    <t>J-7</t>
  </si>
  <si>
    <t>Бюджетный шок</t>
  </si>
  <si>
    <t>Собственные доходы бюджета временно снижаются. Команда теряет 15 у.е. свободного бюджета.</t>
  </si>
  <si>
    <t>Если резерв &lt;15, недостающая сумма уходит в дефицит (штраф по общему правилу).</t>
  </si>
  <si>
    <t>J-8</t>
  </si>
  <si>
    <t>Экологический инцидент</t>
  </si>
  <si>
    <t>Происходит аварийный выброс/загрязнение, вызывающее общественный конфликт. Расходы — 18 у.е.</t>
  </si>
  <si>
    <t>M13: до 12. M15 или M7 с экологическими требованиями: до 10. Обе — до 7 (понимаем как M13 + M15/M7).</t>
  </si>
  <si>
    <t>J+1</t>
  </si>
  <si>
    <t>Положительный</t>
  </si>
  <si>
    <t>Инвестор</t>
  </si>
  <si>
    <t>Инвестор готов разместить новое производство/центр услуг. Нужно муниципальное софинансирование 20 у.е.</t>
  </si>
  <si>
    <t>Если есть M7 — нужно только 10. Если денег нет, возможность теряется.</t>
  </si>
  <si>
    <t>J+2</t>
  </si>
  <si>
    <t>Федеральный грант</t>
  </si>
  <si>
    <t>Город может получить 25 у.е. софинансирования на инфраструктурный проект.</t>
  </si>
  <si>
    <t>Можно направить только на M1, M3, M8, M9, M13, M15 или M16. Нужно 10 у.е. собственных средств. (Понимаем так: грант закрывает «Позже» выбранной меры; к итоговому платежу.)</t>
  </si>
  <si>
    <t>J+3</t>
  </si>
  <si>
    <t>Новый транспортный узел</t>
  </si>
  <si>
    <t>Регион включает город в крупный транспортный проект.</t>
  </si>
  <si>
    <t>M8 или M12 получают бонус: основная часть условной меры («Позже») дешевеет на 8 у.е. Без соответствующих мер — просто новый фактор для стратегии.</t>
  </si>
  <si>
    <t>J+4</t>
  </si>
  <si>
    <t>Приток удаленных специалистов</t>
  </si>
  <si>
    <t>За два года в город переезжают квалифицированные специалисты и семьи.</t>
  </si>
  <si>
    <t>Если есть M5/M9/M10 — дополнительного расхода нет. Если нет ни одной — требуется 12 у.е. на срочную адаптацию сервисов.</t>
  </si>
  <si>
    <t>J+5</t>
  </si>
  <si>
    <t>Технологический партнер</t>
  </si>
  <si>
    <t>Крупная компания предлагает совместный образовательный центр.</t>
  </si>
  <si>
    <t>Если есть M14 — «Позже» снижается на 10 у.е. Если меры нет — можно запустить ее сейчас за 20 у.е.</t>
  </si>
  <si>
    <t>J+6</t>
  </si>
  <si>
    <t>Туристический бум</t>
  </si>
  <si>
    <t>Медиа-проект резко повышает узнаваемость города.</t>
  </si>
  <si>
    <t>M12 дает дополнительный эффект без расходов. Без M12 можно вложить 15 у.е. и быстро запустить базовую программу.</t>
  </si>
  <si>
    <t>J+7</t>
  </si>
  <si>
    <t>Инвестиции в зеленую модернизацию</t>
  </si>
  <si>
    <t>Открывается программа дешевого финансирования экологических проектов.</t>
  </si>
  <si>
    <t>M13 или M15: «Позже» условной меры снижается на 8 у.е.</t>
  </si>
  <si>
    <t>J0</t>
  </si>
  <si>
    <t>Нейтральный</t>
  </si>
  <si>
    <t>Стабильный период</t>
  </si>
  <si>
    <t>Крупного внешнего шока не происходит.</t>
  </si>
  <si>
    <t>Команда ничего не получает и ничего не теряет. Проверка: не был ли портфель чрезмерно ориентирован на редкие угрозы?</t>
  </si>
  <si>
    <t>Правила игры и параметры модели</t>
  </si>
  <si>
    <t>Синий шрифт — параметры, которые будет читать игра. Всё это учебная модель, а не прогноз.</t>
  </si>
  <si>
    <t>Параметр</t>
  </si>
  <si>
    <t>Комментарий</t>
  </si>
  <si>
    <t>Одинаковый для всех городов.</t>
  </si>
  <si>
    <t>Доля эффекта подготовленной условной меры</t>
  </si>
  <si>
    <t>Основной балл +2 → +1, дополнительный +1 → 0 (округление вниз). Запущенная мера (оплачено «Позже») даёт полный эффект.</t>
  </si>
  <si>
    <t>Когда платится «Позже»</t>
  </si>
  <si>
    <t>в конце, после всех джокеров</t>
  </si>
  <si>
    <t>На экране «Закрытие бюджета» команда по каждой условной мере решает: запускаем или нет, с обязательным обоснованием (триггер). Скидки положительных джокеров применяются к этому платежу.</t>
  </si>
  <si>
    <t>Шаг штрафа за дефицит, у.е. на −1 балл</t>
  </si>
  <si>
    <t>Любой дефицит (и по джокеру, и по «Позже»), округление вверх.</t>
  </si>
  <si>
    <t>Показатель, из которого списывается штраф</t>
  </si>
  <si>
    <t>Решение пользователя.</t>
  </si>
  <si>
    <t>Бонус за остаток резерва: у.е. на +1 балл</t>
  </si>
  <si>
    <t>Начисляется к Адаптивности.</t>
  </si>
  <si>
    <t>Максимум бонуса за резерв, баллов</t>
  </si>
  <si>
    <t>Минимальное значение показателя</t>
  </si>
  <si>
    <t>Максимальное значение показателя</t>
  </si>
  <si>
    <t>Когда видны показатели</t>
  </si>
  <si>
    <t>только в итоговом PDF</t>
  </si>
  <si>
    <t>Во время игры команды видят только баланс бюджета. Правила расчёта выводятся на карточке перед стартом.</t>
  </si>
  <si>
    <t>Лимит числа мер</t>
  </si>
  <si>
    <t>не определён</t>
  </si>
  <si>
    <t>Решить позже.</t>
  </si>
  <si>
    <t>Минимальный резерв</t>
  </si>
  <si>
    <t>Порядок игры в приложении</t>
  </si>
  <si>
    <t>1. Команде случайно выпадает город, она знакомится с карточкой (без раздела «уязвимости»).</t>
  </si>
  <si>
    <t>2. Матрица 2×2: две критические неопределённости и их полюса.</t>
  </si>
  <si>
    <t>3. Четыре сценария, у каждого название и описание минимум из 3 предложений.</t>
  </si>
  <si>
    <t>4. Распределение бюджета: полные меры, подготовка условных, резерв; у каждой меры отметка, в каких сценариях она полезна, и записанный триггер для условных.</t>
  </si>
  <si>
    <t>5. Негативный джокер (случайно из корзины, таймер 5 минут).</t>
  </si>
  <si>
    <t>6. Корректировка бюджета или оставить как есть.</t>
  </si>
  <si>
    <t>7. Положительный/нейтральный джокер (таймер 5 минут).</t>
  </si>
  <si>
    <t>8. Перераспределение бюджета.</t>
  </si>
  <si>
    <t>9. Закрытие бюджета: платёж «Позже» по условным мерам, штраф за дефицит.</t>
  </si>
  <si>
    <t>10. Итог в PDF: журнал бюджета, показатели «было → стало», индекс города, индекс устойчивости.</t>
  </si>
  <si>
    <t>Изменения относительно исходного файла и открытые вопросы</t>
  </si>
  <si>
    <t>• События будущего E1–E6 убраны из игры по решению пользователя. Факторные карточки F1–F12: оставляем как подсказки на шаге диагностики? (не решено)</t>
  </si>
  <si>
    <t>• Резервный фонд M17 убран из каталога: резерв = неизрасходованный остаток.</t>
  </si>
  <si>
    <t>• Код J0-8 заменён на J0.</t>
  </si>
  <si>
    <t>• Добавлены значения (жёлтые ячейки на листе «Города»): доля 65+ для Новой долины, Северного берега, Монограда; безработица для Северного берега. Подтвердить.</t>
  </si>
  <si>
    <t>• Влияние мер на показатели и бонусы положительных джокеров — черновик, согласовать.</t>
  </si>
  <si>
    <t>• Неоднозначности исходных данных: J-5 (случай M1+M16 не описан; связь M16 с авариями сетей спорная), J-8 («обе» и «M7 с экологическими требованиями» трудно проверить), J+2 (грант 25 у.е. больше любой доли «Позже», максимум 22).</t>
  </si>
  <si>
    <t>• Калибровка штрафа (−1 балл за 5 у.е.) и бонуса за резерв проверяется после пробной игры.</t>
  </si>
  <si>
    <t>• Все города, показатели и события вымышленные и учебные; на карточках в игре это нужно указать.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</si>
</sst>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
    <numFmt numFmtId="167" formatCode="\+0;\-0;0"/>
  </numFmts>
  <fonts count="9" x14ac:knownFonts="1">
    <font>
      <sz val="11"/>
      <color theme="1"/>
      <name val="Calibri"/>
      <family val="2"/>
      <charset val="1"/>
    </font>
    <font>
      <sz val="10"/>
      <name val="Arial"/>
      <family val="2"/>
    </font>
    <font>
      <b/>
      <sz val="14"/>
      <name val="Arial"/>
      <family val="2"/>
    </font>
    <font>
      <i/>
      <sz val="9"/>
      <color rgb="FF555555"/>
      <name val="Arial"/>
      <family val="2"/>
    </font>
    <font>
      <b/>
      <sz val="10"/>
      <color rgb="FFFFFFFF"/>
      <name val="Arial"/>
      <family val="2"/>
    </font>
    <font>
      <sz val="10"/>
      <name val="Arial"/>
      <family val="2"/>
    </font>
    <font>
      <sz val="10"/>
      <color rgb="FF0000FF"/>
      <name val="Arial"/>
      <family val="2"/>
    </font>
    <font>
      <b/>
      <sz val="10"/>
      <name val="Arial"/>
      <family val="2"/>
    </font>
    <font>
      <sz val="10"/>
      <color rgb="FF000000"/>
      <name val="Arial"/>
      <family val="2"/>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7" fillId="3" borderId="1" xfId="0" applyFont="1" applyFill="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horizontal="center" vertical="top"/>
    </xf>
    <xf numFmtId="0" fontId="7" fillId="3" borderId="1" xfId="0" applyFont="1" applyFill="1" applyBorder="1"/>
    <xf numFmtId="0" fontId="7" fillId="0" borderId="1" xfId="0" applyFont="1" applyBorder="1" applyAlignment="1">
      <alignment horizontal="center" vertical="top"/>
    </xf>
    <xf numFmtId="166" fontId="7" fillId="0" borderId="1" xfId="0" applyNumberFormat="1" applyFont="1" applyBorder="1" applyAlignment="1">
      <alignment horizontal="center" vertical="top"/>
    </xf>
    <xf numFmtId="0" fontId="5" fillId="0" borderId="1" xfId="0" applyFont="1" applyBorder="1" applyAlignment="1">
      <alignment horizontal="center" vertical="top"/>
    </xf>
    <xf numFmtId="0" fontId="5" fillId="4" borderId="1" xfId="0" applyFont="1" applyFill="1" applyBorder="1" applyAlignment="1">
      <alignment vertical="top" wrapText="1"/>
    </xf>
    <xf numFmtId="0" fontId="5" fillId="4" borderId="1" xfId="0" applyFont="1" applyFill="1" applyBorder="1" applyAlignment="1">
      <alignment horizontal="center" vertical="top"/>
    </xf>
    <xf numFmtId="167" fontId="6" fillId="4" borderId="1" xfId="0" applyNumberFormat="1" applyFont="1" applyFill="1" applyBorder="1" applyAlignment="1">
      <alignment horizontal="center" vertical="top"/>
    </xf>
    <xf numFmtId="0" fontId="7" fillId="3" borderId="1" xfId="0" applyFont="1" applyFill="1" applyBorder="1" applyAlignment="1">
      <alignment horizontal="center"/>
    </xf>
    <xf numFmtId="0" fontId="7" fillId="0" borderId="1" xfId="0" applyFont="1" applyBorder="1" applyAlignment="1">
      <alignment horizontal="center"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6" fillId="4" borderId="1" xfId="0" applyFont="1" applyFill="1" applyBorder="1" applyAlignment="1">
      <alignment horizontal="center" vertical="top" wrapText="1"/>
    </xf>
    <xf numFmtId="167" fontId="6" fillId="4" borderId="1" xfId="0" applyNumberFormat="1" applyFont="1" applyFill="1" applyBorder="1" applyAlignment="1">
      <alignment horizontal="center" vertical="top" wrapText="1"/>
    </xf>
    <xf numFmtId="0" fontId="7" fillId="0" borderId="0" xfId="0" applyFont="1"/>
    <xf numFmtId="0" fontId="7" fillId="0" borderId="0" xfId="0" applyFont="1" applyAlignment="1">
      <alignment horizontal="left"/>
    </xf>
    <xf numFmtId="9" fontId="6" fillId="0" borderId="1" xfId="0" applyNumberFormat="1" applyFont="1" applyBorder="1" applyAlignment="1">
      <alignment horizontal="center" vertical="top" wrapText="1"/>
    </xf>
    <xf numFmtId="0" fontId="1" fillId="0" borderId="1" xfId="0" applyFont="1" applyBorder="1" applyAlignment="1">
      <alignment vertical="top" wrapText="1"/>
    </xf>
    <xf numFmtId="3"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9" fontId="1" fillId="0" borderId="1" xfId="0" applyNumberFormat="1" applyFont="1" applyBorder="1" applyAlignment="1">
      <alignment horizontal="center" vertical="top"/>
    </xf>
    <xf numFmtId="165" fontId="1" fillId="0" borderId="1" xfId="0" applyNumberFormat="1" applyFont="1" applyBorder="1" applyAlignment="1">
      <alignment horizontal="center" vertical="top"/>
    </xf>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0" fontId="4" fillId="2" borderId="0" xfId="0" applyFont="1" applyFill="1" applyAlignment="1">
      <alignment horizontal="center" vertical="center" wrapText="1"/>
    </xf>
    <xf numFmtId="0" fontId="5" fillId="0" borderId="0" xfId="0" applyFont="1" applyAlignment="1">
      <alignment vertical="top" wrapText="1"/>
    </xf>
    <xf numFmtId="167" fontId="5" fillId="0" borderId="1" xfId="0" applyNumberFormat="1" applyFont="1" applyBorder="1" applyAlignment="1">
      <alignment horizontal="center" vertical="top"/>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zoomScaleNormal="100" workbookViewId="0">
      <pane xSplit="1" ySplit="4" topLeftCell="B5" activePane="bottomRight" state="frozen"/>
      <selection pane="topRight" activeCell="B1" sqref="B1"/>
      <selection pane="bottomLeft" activeCell="A5" sqref="A5"/>
      <selection pane="bottomRight" activeCell="C19" sqref="C19"/>
    </sheetView>
  </sheetViews>
  <sheetFormatPr baseColWidth="10" defaultColWidth="8.6640625" defaultRowHeight="15" x14ac:dyDescent="0.2"/>
  <cols>
    <col min="1" max="1" width="34" customWidth="1"/>
    <col min="2" max="5" width="30" customWidth="1"/>
  </cols>
  <sheetData>
    <row r="1" spans="1:5" ht="18" x14ac:dyDescent="0.2">
      <c r="A1" s="1" t="s">
        <v>0</v>
      </c>
    </row>
    <row r="2" spans="1:5" x14ac:dyDescent="0.2">
      <c r="A2" s="2"/>
    </row>
    <row r="4" spans="1:5" x14ac:dyDescent="0.2">
      <c r="A4" s="3" t="s">
        <v>1</v>
      </c>
      <c r="B4" s="3" t="s">
        <v>2</v>
      </c>
      <c r="C4" s="3" t="s">
        <v>3</v>
      </c>
      <c r="D4" s="3" t="s">
        <v>4</v>
      </c>
      <c r="E4" s="3" t="s">
        <v>5</v>
      </c>
    </row>
    <row r="5" spans="1:5" ht="28" x14ac:dyDescent="0.2">
      <c r="A5" s="4" t="s">
        <v>6</v>
      </c>
      <c r="B5" s="24" t="s">
        <v>7</v>
      </c>
      <c r="C5" s="24" t="s">
        <v>8</v>
      </c>
      <c r="D5" s="24" t="s">
        <v>9</v>
      </c>
      <c r="E5" s="24" t="s">
        <v>10</v>
      </c>
    </row>
    <row r="6" spans="1:5" x14ac:dyDescent="0.2">
      <c r="A6" s="5" t="s">
        <v>11</v>
      </c>
      <c r="B6" s="5"/>
      <c r="C6" s="5"/>
      <c r="D6" s="5"/>
      <c r="E6" s="5"/>
    </row>
    <row r="7" spans="1:5" x14ac:dyDescent="0.2">
      <c r="A7" s="6" t="s">
        <v>12</v>
      </c>
      <c r="B7" s="25">
        <v>310</v>
      </c>
      <c r="C7" s="25">
        <v>205</v>
      </c>
      <c r="D7" s="25">
        <v>92</v>
      </c>
      <c r="E7" s="25">
        <v>128</v>
      </c>
    </row>
    <row r="8" spans="1:5" x14ac:dyDescent="0.2">
      <c r="A8" s="6" t="s">
        <v>13</v>
      </c>
      <c r="B8" s="26">
        <v>-0.03</v>
      </c>
      <c r="C8" s="26">
        <v>0.14000000000000001</v>
      </c>
      <c r="D8" s="26">
        <v>-0.01</v>
      </c>
      <c r="E8" s="26">
        <v>-0.09</v>
      </c>
    </row>
    <row r="9" spans="1:5" x14ac:dyDescent="0.2">
      <c r="A9" s="6" t="s">
        <v>14</v>
      </c>
      <c r="B9" s="27">
        <v>0.21</v>
      </c>
      <c r="C9" s="27">
        <v>0.08</v>
      </c>
      <c r="D9" s="27">
        <v>0.19</v>
      </c>
      <c r="E9" s="27">
        <v>0.22</v>
      </c>
    </row>
    <row r="10" spans="1:5" x14ac:dyDescent="0.2">
      <c r="A10" s="6" t="s">
        <v>15</v>
      </c>
      <c r="B10" s="28">
        <v>4.8000000000000001E-2</v>
      </c>
      <c r="C10" s="28">
        <v>3.9E-2</v>
      </c>
      <c r="D10" s="28">
        <v>5.5E-2</v>
      </c>
      <c r="E10" s="28">
        <v>7.0999999999999994E-2</v>
      </c>
    </row>
    <row r="11" spans="1:5" ht="28" x14ac:dyDescent="0.2">
      <c r="A11" s="6" t="s">
        <v>16</v>
      </c>
      <c r="B11" s="24" t="s">
        <v>17</v>
      </c>
      <c r="C11" s="24" t="s">
        <v>18</v>
      </c>
      <c r="D11" s="24" t="s">
        <v>19</v>
      </c>
      <c r="E11" s="24" t="s">
        <v>20</v>
      </c>
    </row>
    <row r="12" spans="1:5" x14ac:dyDescent="0.2">
      <c r="A12" s="6" t="s">
        <v>21</v>
      </c>
      <c r="B12" s="29">
        <v>100</v>
      </c>
      <c r="C12" s="29">
        <v>100</v>
      </c>
      <c r="D12" s="29">
        <v>100</v>
      </c>
      <c r="E12" s="29">
        <v>100</v>
      </c>
    </row>
    <row r="13" spans="1:5" x14ac:dyDescent="0.2">
      <c r="A13" s="8" t="s">
        <v>22</v>
      </c>
      <c r="B13" s="8"/>
      <c r="C13" s="8"/>
      <c r="D13" s="8"/>
      <c r="E13" s="8"/>
    </row>
    <row r="14" spans="1:5" x14ac:dyDescent="0.2">
      <c r="A14" s="6" t="s">
        <v>23</v>
      </c>
      <c r="B14" s="29">
        <v>8</v>
      </c>
      <c r="C14" s="29">
        <v>7</v>
      </c>
      <c r="D14" s="29">
        <v>5</v>
      </c>
      <c r="E14" s="29">
        <v>4</v>
      </c>
    </row>
    <row r="15" spans="1:5" x14ac:dyDescent="0.2">
      <c r="A15" s="6" t="s">
        <v>24</v>
      </c>
      <c r="B15" s="29">
        <v>6</v>
      </c>
      <c r="C15" s="29">
        <v>6</v>
      </c>
      <c r="D15" s="29">
        <v>7</v>
      </c>
      <c r="E15" s="29">
        <v>5</v>
      </c>
    </row>
    <row r="16" spans="1:5" x14ac:dyDescent="0.2">
      <c r="A16" s="6" t="s">
        <v>25</v>
      </c>
      <c r="B16" s="29">
        <v>5</v>
      </c>
      <c r="C16" s="29">
        <v>4</v>
      </c>
      <c r="D16" s="29">
        <v>5</v>
      </c>
      <c r="E16" s="29">
        <v>5</v>
      </c>
    </row>
    <row r="17" spans="1:5" x14ac:dyDescent="0.2">
      <c r="A17" s="6" t="s">
        <v>26</v>
      </c>
      <c r="B17" s="29">
        <v>3</v>
      </c>
      <c r="C17" s="29">
        <v>5</v>
      </c>
      <c r="D17" s="29">
        <v>8</v>
      </c>
      <c r="E17" s="29">
        <v>5</v>
      </c>
    </row>
    <row r="18" spans="1:5" x14ac:dyDescent="0.2">
      <c r="A18" s="6" t="s">
        <v>27</v>
      </c>
      <c r="B18" s="29">
        <v>6</v>
      </c>
      <c r="C18" s="29">
        <v>7</v>
      </c>
      <c r="D18" s="29">
        <v>6</v>
      </c>
      <c r="E18" s="29">
        <v>4</v>
      </c>
    </row>
    <row r="19" spans="1:5" x14ac:dyDescent="0.2">
      <c r="A19" s="6" t="s">
        <v>28</v>
      </c>
      <c r="B19" s="29">
        <v>5</v>
      </c>
      <c r="C19" s="29">
        <v>7</v>
      </c>
      <c r="D19" s="29">
        <v>6</v>
      </c>
      <c r="E19" s="29">
        <v>3</v>
      </c>
    </row>
    <row r="20" spans="1:5" x14ac:dyDescent="0.2">
      <c r="A20" s="6" t="s">
        <v>29</v>
      </c>
      <c r="B20" s="9">
        <f>SUM(B14:B19)</f>
        <v>33</v>
      </c>
      <c r="C20" s="9">
        <f>SUM(C14:C19)</f>
        <v>36</v>
      </c>
      <c r="D20" s="9">
        <f>SUM(D14:D19)</f>
        <v>37</v>
      </c>
      <c r="E20" s="9">
        <f>SUM(E14:E19)</f>
        <v>26</v>
      </c>
    </row>
    <row r="21" spans="1:5" x14ac:dyDescent="0.2">
      <c r="A21" s="6" t="s">
        <v>30</v>
      </c>
      <c r="B21" s="10">
        <f>AVERAGE(B14:B19)</f>
        <v>5.5</v>
      </c>
      <c r="C21" s="10">
        <f>AVERAGE(C14:C19)</f>
        <v>6</v>
      </c>
      <c r="D21" s="10">
        <f>AVERAGE(D14:D19)</f>
        <v>6.166666666666667</v>
      </c>
      <c r="E21" s="10">
        <f>AVERAGE(E14:E19)</f>
        <v>4.333333333333333</v>
      </c>
    </row>
    <row r="22" spans="1:5" x14ac:dyDescent="0.2">
      <c r="A22" s="2"/>
    </row>
  </sheetData>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zoomScaleNormal="100" workbookViewId="0">
      <pane ySplit="3" topLeftCell="A4" activePane="bottomLeft" state="frozen"/>
      <selection pane="bottomLeft" activeCell="B20" sqref="B20"/>
    </sheetView>
  </sheetViews>
  <sheetFormatPr baseColWidth="10" defaultColWidth="8.6640625" defaultRowHeight="15" x14ac:dyDescent="0.2"/>
  <cols>
    <col min="1" max="1" width="18" customWidth="1"/>
    <col min="2" max="2" width="56" customWidth="1"/>
    <col min="3" max="3" width="16" customWidth="1"/>
    <col min="4" max="4" width="28" customWidth="1"/>
  </cols>
  <sheetData>
    <row r="1" spans="1:4" ht="18" x14ac:dyDescent="0.2">
      <c r="A1" s="1" t="s">
        <v>31</v>
      </c>
    </row>
    <row r="3" spans="1:4" x14ac:dyDescent="0.2">
      <c r="A3" s="3" t="s">
        <v>32</v>
      </c>
      <c r="B3" s="3" t="s">
        <v>1</v>
      </c>
      <c r="C3" s="3" t="s">
        <v>33</v>
      </c>
      <c r="D3" s="3" t="s">
        <v>34</v>
      </c>
    </row>
    <row r="4" spans="1:4" x14ac:dyDescent="0.2">
      <c r="A4" s="4" t="s">
        <v>35</v>
      </c>
      <c r="B4" s="4" t="s">
        <v>36</v>
      </c>
      <c r="C4" s="27">
        <v>0.44</v>
      </c>
      <c r="D4" s="4" t="s">
        <v>37</v>
      </c>
    </row>
    <row r="5" spans="1:4" x14ac:dyDescent="0.2">
      <c r="A5" s="4" t="s">
        <v>35</v>
      </c>
      <c r="B5" s="4" t="s">
        <v>38</v>
      </c>
      <c r="C5" s="27">
        <v>0.61</v>
      </c>
      <c r="D5" s="4"/>
    </row>
    <row r="6" spans="1:4" x14ac:dyDescent="0.2">
      <c r="A6" s="4" t="s">
        <v>35</v>
      </c>
      <c r="B6" s="4" t="s">
        <v>39</v>
      </c>
      <c r="C6" s="27">
        <v>0.48</v>
      </c>
      <c r="D6" s="4"/>
    </row>
    <row r="7" spans="1:4" x14ac:dyDescent="0.2">
      <c r="A7" s="4" t="s">
        <v>40</v>
      </c>
      <c r="B7" s="4" t="s">
        <v>41</v>
      </c>
      <c r="C7" s="30">
        <v>34</v>
      </c>
      <c r="D7" s="4" t="s">
        <v>42</v>
      </c>
    </row>
    <row r="8" spans="1:4" x14ac:dyDescent="0.2">
      <c r="A8" s="4" t="s">
        <v>40</v>
      </c>
      <c r="B8" s="4" t="s">
        <v>43</v>
      </c>
      <c r="C8" s="27">
        <v>0.31</v>
      </c>
      <c r="D8" s="4"/>
    </row>
    <row r="9" spans="1:4" x14ac:dyDescent="0.2">
      <c r="A9" s="4" t="s">
        <v>40</v>
      </c>
      <c r="B9" s="4" t="s">
        <v>44</v>
      </c>
      <c r="C9" s="27">
        <v>0.11</v>
      </c>
      <c r="D9" s="4"/>
    </row>
    <row r="10" spans="1:4" x14ac:dyDescent="0.2">
      <c r="A10" s="4" t="s">
        <v>40</v>
      </c>
      <c r="B10" s="4" t="s">
        <v>45</v>
      </c>
      <c r="C10" s="30">
        <v>57</v>
      </c>
      <c r="D10" s="4" t="s">
        <v>46</v>
      </c>
    </row>
    <row r="11" spans="1:4" x14ac:dyDescent="0.2">
      <c r="A11" s="4" t="s">
        <v>47</v>
      </c>
      <c r="B11" s="4" t="s">
        <v>48</v>
      </c>
      <c r="C11" s="27">
        <v>0.38</v>
      </c>
      <c r="D11" s="4"/>
    </row>
    <row r="12" spans="1:4" x14ac:dyDescent="0.2">
      <c r="A12" s="4" t="s">
        <v>47</v>
      </c>
      <c r="B12" s="4" t="s">
        <v>49</v>
      </c>
      <c r="C12" s="29" t="s">
        <v>50</v>
      </c>
      <c r="D12" s="4"/>
    </row>
    <row r="13" spans="1:4" x14ac:dyDescent="0.2">
      <c r="A13" s="4" t="s">
        <v>47</v>
      </c>
      <c r="B13" s="4" t="s">
        <v>51</v>
      </c>
      <c r="C13" s="27">
        <v>0.12</v>
      </c>
      <c r="D13" s="4" t="s">
        <v>52</v>
      </c>
    </row>
    <row r="14" spans="1:4" x14ac:dyDescent="0.2">
      <c r="A14" s="4" t="s">
        <v>47</v>
      </c>
      <c r="B14" s="4" t="s">
        <v>53</v>
      </c>
      <c r="C14" s="29" t="s">
        <v>50</v>
      </c>
      <c r="D14" s="4"/>
    </row>
    <row r="15" spans="1:4" x14ac:dyDescent="0.2">
      <c r="A15" s="4" t="s">
        <v>47</v>
      </c>
      <c r="B15" s="4" t="s">
        <v>54</v>
      </c>
      <c r="C15" s="29" t="s">
        <v>55</v>
      </c>
      <c r="D15" s="4"/>
    </row>
    <row r="16" spans="1:4" x14ac:dyDescent="0.2">
      <c r="A16" s="4" t="s">
        <v>56</v>
      </c>
      <c r="B16" s="4" t="s">
        <v>57</v>
      </c>
      <c r="C16" s="27">
        <v>0.36</v>
      </c>
      <c r="D16" s="4" t="s">
        <v>58</v>
      </c>
    </row>
    <row r="17" spans="1:4" x14ac:dyDescent="0.2">
      <c r="A17" s="4" t="s">
        <v>56</v>
      </c>
      <c r="B17" s="4" t="s">
        <v>59</v>
      </c>
      <c r="C17" s="27">
        <v>0.16</v>
      </c>
      <c r="D17" s="4"/>
    </row>
    <row r="18" spans="1:4" x14ac:dyDescent="0.2">
      <c r="A18" s="4" t="s">
        <v>56</v>
      </c>
      <c r="B18" s="4" t="s">
        <v>60</v>
      </c>
      <c r="C18" s="27">
        <v>0.24</v>
      </c>
      <c r="D18" s="4"/>
    </row>
    <row r="19" spans="1:4" x14ac:dyDescent="0.2">
      <c r="A19" s="4" t="s">
        <v>56</v>
      </c>
      <c r="B19" s="4" t="s">
        <v>61</v>
      </c>
      <c r="C19" s="27">
        <v>0.54</v>
      </c>
      <c r="D19" s="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
  <sheetViews>
    <sheetView zoomScaleNormal="100" workbookViewId="0">
      <pane ySplit="4" topLeftCell="A5" activePane="bottomLeft" state="frozen"/>
      <selection pane="bottomLeft" activeCell="D17" sqref="D17"/>
    </sheetView>
  </sheetViews>
  <sheetFormatPr baseColWidth="10" defaultColWidth="8.6640625" defaultRowHeight="15" x14ac:dyDescent="0.2"/>
  <cols>
    <col min="1" max="1" width="18" customWidth="1"/>
    <col min="2" max="2" width="28" customWidth="1"/>
    <col min="3" max="3" width="100" customWidth="1"/>
    <col min="4" max="4" width="16" customWidth="1"/>
  </cols>
  <sheetData>
    <row r="1" spans="1:4" ht="18" x14ac:dyDescent="0.2">
      <c r="A1" s="1" t="s">
        <v>62</v>
      </c>
    </row>
    <row r="2" spans="1:4" x14ac:dyDescent="0.2">
      <c r="A2" s="2" t="s">
        <v>63</v>
      </c>
    </row>
    <row r="4" spans="1:4" x14ac:dyDescent="0.2">
      <c r="A4" s="3" t="s">
        <v>32</v>
      </c>
      <c r="B4" s="3" t="s">
        <v>64</v>
      </c>
      <c r="C4" s="3" t="s">
        <v>65</v>
      </c>
      <c r="D4" s="3" t="s">
        <v>66</v>
      </c>
    </row>
    <row r="5" spans="1:4" ht="56" x14ac:dyDescent="0.2">
      <c r="A5" s="4" t="s">
        <v>35</v>
      </c>
      <c r="B5" s="4" t="s">
        <v>67</v>
      </c>
      <c r="C5" s="4" t="s">
        <v>68</v>
      </c>
      <c r="D5" s="11" t="s">
        <v>69</v>
      </c>
    </row>
    <row r="6" spans="1:4" x14ac:dyDescent="0.2">
      <c r="A6" s="4" t="s">
        <v>35</v>
      </c>
      <c r="B6" s="4" t="s">
        <v>70</v>
      </c>
      <c r="C6" s="4" t="s">
        <v>71</v>
      </c>
      <c r="D6" s="11" t="s">
        <v>69</v>
      </c>
    </row>
    <row r="7" spans="1:4" x14ac:dyDescent="0.2">
      <c r="A7" s="4" t="s">
        <v>35</v>
      </c>
      <c r="B7" s="4" t="s">
        <v>72</v>
      </c>
      <c r="C7" s="4" t="s">
        <v>73</v>
      </c>
      <c r="D7" s="11" t="s">
        <v>69</v>
      </c>
    </row>
    <row r="8" spans="1:4" x14ac:dyDescent="0.2">
      <c r="A8" s="4" t="s">
        <v>35</v>
      </c>
      <c r="B8" s="4" t="s">
        <v>74</v>
      </c>
      <c r="C8" s="4" t="s">
        <v>75</v>
      </c>
      <c r="D8" s="11" t="s">
        <v>69</v>
      </c>
    </row>
    <row r="9" spans="1:4" x14ac:dyDescent="0.2">
      <c r="A9" s="4" t="s">
        <v>35</v>
      </c>
      <c r="B9" s="4" t="s">
        <v>76</v>
      </c>
      <c r="C9" s="4" t="s">
        <v>77</v>
      </c>
      <c r="D9" s="11" t="s">
        <v>69</v>
      </c>
    </row>
    <row r="10" spans="1:4" x14ac:dyDescent="0.2">
      <c r="A10" s="4" t="s">
        <v>35</v>
      </c>
      <c r="B10" s="4" t="s">
        <v>78</v>
      </c>
      <c r="C10" s="4" t="s">
        <v>79</v>
      </c>
      <c r="D10" s="11" t="s">
        <v>69</v>
      </c>
    </row>
    <row r="11" spans="1:4" x14ac:dyDescent="0.2">
      <c r="A11" s="4" t="s">
        <v>35</v>
      </c>
      <c r="B11" s="4" t="s">
        <v>80</v>
      </c>
      <c r="C11" s="4" t="s">
        <v>81</v>
      </c>
      <c r="D11" s="11" t="s">
        <v>69</v>
      </c>
    </row>
    <row r="12" spans="1:4" x14ac:dyDescent="0.2">
      <c r="A12" s="12" t="s">
        <v>35</v>
      </c>
      <c r="B12" s="12" t="s">
        <v>82</v>
      </c>
      <c r="C12" s="12" t="s">
        <v>83</v>
      </c>
      <c r="D12" s="13" t="s">
        <v>84</v>
      </c>
    </row>
    <row r="13" spans="1:4" x14ac:dyDescent="0.2">
      <c r="A13" s="12" t="s">
        <v>35</v>
      </c>
      <c r="B13" s="12" t="s">
        <v>85</v>
      </c>
      <c r="C13" s="12" t="s">
        <v>86</v>
      </c>
      <c r="D13" s="13" t="s">
        <v>84</v>
      </c>
    </row>
    <row r="14" spans="1:4" x14ac:dyDescent="0.2">
      <c r="A14" s="12" t="s">
        <v>35</v>
      </c>
      <c r="B14" s="12" t="s">
        <v>87</v>
      </c>
      <c r="C14" s="12" t="s">
        <v>88</v>
      </c>
      <c r="D14" s="13" t="s">
        <v>84</v>
      </c>
    </row>
    <row r="15" spans="1:4" x14ac:dyDescent="0.2">
      <c r="A15" s="12" t="s">
        <v>35</v>
      </c>
      <c r="B15" s="12" t="s">
        <v>89</v>
      </c>
      <c r="C15" s="12" t="s">
        <v>90</v>
      </c>
      <c r="D15" s="13" t="s">
        <v>84</v>
      </c>
    </row>
    <row r="16" spans="1:4" x14ac:dyDescent="0.2">
      <c r="A16" s="12" t="s">
        <v>35</v>
      </c>
      <c r="B16" s="12" t="s">
        <v>91</v>
      </c>
      <c r="C16" s="12" t="s">
        <v>92</v>
      </c>
      <c r="D16" s="13" t="s">
        <v>84</v>
      </c>
    </row>
    <row r="17" spans="1:4" ht="56" x14ac:dyDescent="0.2">
      <c r="A17" s="4" t="s">
        <v>40</v>
      </c>
      <c r="B17" s="4" t="s">
        <v>67</v>
      </c>
      <c r="C17" s="4" t="s">
        <v>93</v>
      </c>
      <c r="D17" s="11" t="s">
        <v>69</v>
      </c>
    </row>
    <row r="18" spans="1:4" x14ac:dyDescent="0.2">
      <c r="A18" s="4" t="s">
        <v>40</v>
      </c>
      <c r="B18" s="4" t="s">
        <v>70</v>
      </c>
      <c r="C18" s="4" t="s">
        <v>94</v>
      </c>
      <c r="D18" s="11" t="s">
        <v>69</v>
      </c>
    </row>
    <row r="19" spans="1:4" x14ac:dyDescent="0.2">
      <c r="A19" s="4" t="s">
        <v>40</v>
      </c>
      <c r="B19" s="4" t="s">
        <v>72</v>
      </c>
      <c r="C19" s="4" t="s">
        <v>95</v>
      </c>
      <c r="D19" s="11" t="s">
        <v>69</v>
      </c>
    </row>
    <row r="20" spans="1:4" x14ac:dyDescent="0.2">
      <c r="A20" s="4" t="s">
        <v>40</v>
      </c>
      <c r="B20" s="4" t="s">
        <v>74</v>
      </c>
      <c r="C20" s="4" t="s">
        <v>96</v>
      </c>
      <c r="D20" s="11" t="s">
        <v>69</v>
      </c>
    </row>
    <row r="21" spans="1:4" x14ac:dyDescent="0.2">
      <c r="A21" s="4" t="s">
        <v>40</v>
      </c>
      <c r="B21" s="4" t="s">
        <v>76</v>
      </c>
      <c r="C21" s="4" t="s">
        <v>97</v>
      </c>
      <c r="D21" s="11" t="s">
        <v>69</v>
      </c>
    </row>
    <row r="22" spans="1:4" x14ac:dyDescent="0.2">
      <c r="A22" s="4" t="s">
        <v>40</v>
      </c>
      <c r="B22" s="4" t="s">
        <v>78</v>
      </c>
      <c r="C22" s="4" t="s">
        <v>98</v>
      </c>
      <c r="D22" s="11" t="s">
        <v>69</v>
      </c>
    </row>
    <row r="23" spans="1:4" x14ac:dyDescent="0.2">
      <c r="A23" s="4" t="s">
        <v>40</v>
      </c>
      <c r="B23" s="4" t="s">
        <v>80</v>
      </c>
      <c r="C23" s="4" t="s">
        <v>99</v>
      </c>
      <c r="D23" s="11" t="s">
        <v>69</v>
      </c>
    </row>
    <row r="24" spans="1:4" x14ac:dyDescent="0.2">
      <c r="A24" s="12" t="s">
        <v>40</v>
      </c>
      <c r="B24" s="12" t="s">
        <v>82</v>
      </c>
      <c r="C24" s="12" t="s">
        <v>100</v>
      </c>
      <c r="D24" s="13" t="s">
        <v>84</v>
      </c>
    </row>
    <row r="25" spans="1:4" x14ac:dyDescent="0.2">
      <c r="A25" s="12" t="s">
        <v>40</v>
      </c>
      <c r="B25" s="12" t="s">
        <v>85</v>
      </c>
      <c r="C25" s="12" t="s">
        <v>101</v>
      </c>
      <c r="D25" s="13" t="s">
        <v>84</v>
      </c>
    </row>
    <row r="26" spans="1:4" x14ac:dyDescent="0.2">
      <c r="A26" s="12" t="s">
        <v>40</v>
      </c>
      <c r="B26" s="12" t="s">
        <v>87</v>
      </c>
      <c r="C26" s="12" t="s">
        <v>102</v>
      </c>
      <c r="D26" s="13" t="s">
        <v>84</v>
      </c>
    </row>
    <row r="27" spans="1:4" x14ac:dyDescent="0.2">
      <c r="A27" s="12" t="s">
        <v>40</v>
      </c>
      <c r="B27" s="12" t="s">
        <v>89</v>
      </c>
      <c r="C27" s="12" t="s">
        <v>103</v>
      </c>
      <c r="D27" s="13" t="s">
        <v>84</v>
      </c>
    </row>
    <row r="28" spans="1:4" x14ac:dyDescent="0.2">
      <c r="A28" s="12" t="s">
        <v>40</v>
      </c>
      <c r="B28" s="12" t="s">
        <v>91</v>
      </c>
      <c r="C28" s="12" t="s">
        <v>104</v>
      </c>
      <c r="D28" s="13" t="s">
        <v>84</v>
      </c>
    </row>
    <row r="29" spans="1:4" ht="56" x14ac:dyDescent="0.2">
      <c r="A29" s="4" t="s">
        <v>47</v>
      </c>
      <c r="B29" s="4" t="s">
        <v>67</v>
      </c>
      <c r="C29" s="4" t="s">
        <v>105</v>
      </c>
      <c r="D29" s="11" t="s">
        <v>69</v>
      </c>
    </row>
    <row r="30" spans="1:4" x14ac:dyDescent="0.2">
      <c r="A30" s="4" t="s">
        <v>47</v>
      </c>
      <c r="B30" s="4" t="s">
        <v>70</v>
      </c>
      <c r="C30" s="4" t="s">
        <v>106</v>
      </c>
      <c r="D30" s="11" t="s">
        <v>69</v>
      </c>
    </row>
    <row r="31" spans="1:4" x14ac:dyDescent="0.2">
      <c r="A31" s="4" t="s">
        <v>47</v>
      </c>
      <c r="B31" s="4" t="s">
        <v>72</v>
      </c>
      <c r="C31" s="4" t="s">
        <v>107</v>
      </c>
      <c r="D31" s="11" t="s">
        <v>69</v>
      </c>
    </row>
    <row r="32" spans="1:4" x14ac:dyDescent="0.2">
      <c r="A32" s="4" t="s">
        <v>47</v>
      </c>
      <c r="B32" s="4" t="s">
        <v>74</v>
      </c>
      <c r="C32" s="4" t="s">
        <v>108</v>
      </c>
      <c r="D32" s="11" t="s">
        <v>69</v>
      </c>
    </row>
    <row r="33" spans="1:4" x14ac:dyDescent="0.2">
      <c r="A33" s="4" t="s">
        <v>47</v>
      </c>
      <c r="B33" s="4" t="s">
        <v>76</v>
      </c>
      <c r="C33" s="4" t="s">
        <v>109</v>
      </c>
      <c r="D33" s="11" t="s">
        <v>69</v>
      </c>
    </row>
    <row r="34" spans="1:4" x14ac:dyDescent="0.2">
      <c r="A34" s="4" t="s">
        <v>47</v>
      </c>
      <c r="B34" s="4" t="s">
        <v>78</v>
      </c>
      <c r="C34" s="4" t="s">
        <v>110</v>
      </c>
      <c r="D34" s="11" t="s">
        <v>69</v>
      </c>
    </row>
    <row r="35" spans="1:4" x14ac:dyDescent="0.2">
      <c r="A35" s="4" t="s">
        <v>47</v>
      </c>
      <c r="B35" s="4" t="s">
        <v>80</v>
      </c>
      <c r="C35" s="4" t="s">
        <v>111</v>
      </c>
      <c r="D35" s="11" t="s">
        <v>69</v>
      </c>
    </row>
    <row r="36" spans="1:4" x14ac:dyDescent="0.2">
      <c r="A36" s="12" t="s">
        <v>47</v>
      </c>
      <c r="B36" s="12" t="s">
        <v>82</v>
      </c>
      <c r="C36" s="12" t="s">
        <v>112</v>
      </c>
      <c r="D36" s="13" t="s">
        <v>84</v>
      </c>
    </row>
    <row r="37" spans="1:4" x14ac:dyDescent="0.2">
      <c r="A37" s="12" t="s">
        <v>47</v>
      </c>
      <c r="B37" s="12" t="s">
        <v>85</v>
      </c>
      <c r="C37" s="12" t="s">
        <v>113</v>
      </c>
      <c r="D37" s="13" t="s">
        <v>84</v>
      </c>
    </row>
    <row r="38" spans="1:4" x14ac:dyDescent="0.2">
      <c r="A38" s="12" t="s">
        <v>47</v>
      </c>
      <c r="B38" s="12" t="s">
        <v>87</v>
      </c>
      <c r="C38" s="12" t="s">
        <v>114</v>
      </c>
      <c r="D38" s="13" t="s">
        <v>84</v>
      </c>
    </row>
    <row r="39" spans="1:4" x14ac:dyDescent="0.2">
      <c r="A39" s="12" t="s">
        <v>47</v>
      </c>
      <c r="B39" s="12" t="s">
        <v>89</v>
      </c>
      <c r="C39" s="12" t="s">
        <v>115</v>
      </c>
      <c r="D39" s="13" t="s">
        <v>84</v>
      </c>
    </row>
    <row r="40" spans="1:4" x14ac:dyDescent="0.2">
      <c r="A40" s="12" t="s">
        <v>47</v>
      </c>
      <c r="B40" s="12" t="s">
        <v>91</v>
      </c>
      <c r="C40" s="12" t="s">
        <v>116</v>
      </c>
      <c r="D40" s="13" t="s">
        <v>84</v>
      </c>
    </row>
    <row r="41" spans="1:4" ht="56" x14ac:dyDescent="0.2">
      <c r="A41" s="4" t="s">
        <v>56</v>
      </c>
      <c r="B41" s="4" t="s">
        <v>67</v>
      </c>
      <c r="C41" s="4" t="s">
        <v>117</v>
      </c>
      <c r="D41" s="11" t="s">
        <v>69</v>
      </c>
    </row>
    <row r="42" spans="1:4" x14ac:dyDescent="0.2">
      <c r="A42" s="4" t="s">
        <v>56</v>
      </c>
      <c r="B42" s="4" t="s">
        <v>70</v>
      </c>
      <c r="C42" s="4" t="s">
        <v>118</v>
      </c>
      <c r="D42" s="11" t="s">
        <v>69</v>
      </c>
    </row>
    <row r="43" spans="1:4" x14ac:dyDescent="0.2">
      <c r="A43" s="4" t="s">
        <v>56</v>
      </c>
      <c r="B43" s="4" t="s">
        <v>72</v>
      </c>
      <c r="C43" s="4" t="s">
        <v>119</v>
      </c>
      <c r="D43" s="11" t="s">
        <v>69</v>
      </c>
    </row>
    <row r="44" spans="1:4" x14ac:dyDescent="0.2">
      <c r="A44" s="4" t="s">
        <v>56</v>
      </c>
      <c r="B44" s="4" t="s">
        <v>74</v>
      </c>
      <c r="C44" s="4" t="s">
        <v>120</v>
      </c>
      <c r="D44" s="11" t="s">
        <v>69</v>
      </c>
    </row>
    <row r="45" spans="1:4" x14ac:dyDescent="0.2">
      <c r="A45" s="4" t="s">
        <v>56</v>
      </c>
      <c r="B45" s="4" t="s">
        <v>76</v>
      </c>
      <c r="C45" s="4" t="s">
        <v>121</v>
      </c>
      <c r="D45" s="11" t="s">
        <v>69</v>
      </c>
    </row>
    <row r="46" spans="1:4" x14ac:dyDescent="0.2">
      <c r="A46" s="4" t="s">
        <v>56</v>
      </c>
      <c r="B46" s="4" t="s">
        <v>78</v>
      </c>
      <c r="C46" s="4" t="s">
        <v>122</v>
      </c>
      <c r="D46" s="11" t="s">
        <v>69</v>
      </c>
    </row>
    <row r="47" spans="1:4" x14ac:dyDescent="0.2">
      <c r="A47" s="4" t="s">
        <v>56</v>
      </c>
      <c r="B47" s="4" t="s">
        <v>80</v>
      </c>
      <c r="C47" s="4" t="s">
        <v>123</v>
      </c>
      <c r="D47" s="11" t="s">
        <v>69</v>
      </c>
    </row>
    <row r="48" spans="1:4" x14ac:dyDescent="0.2">
      <c r="A48" s="12" t="s">
        <v>56</v>
      </c>
      <c r="B48" s="12" t="s">
        <v>82</v>
      </c>
      <c r="C48" s="12" t="s">
        <v>124</v>
      </c>
      <c r="D48" s="13" t="s">
        <v>84</v>
      </c>
    </row>
    <row r="49" spans="1:4" x14ac:dyDescent="0.2">
      <c r="A49" s="12" t="s">
        <v>56</v>
      </c>
      <c r="B49" s="12" t="s">
        <v>85</v>
      </c>
      <c r="C49" s="12" t="s">
        <v>125</v>
      </c>
      <c r="D49" s="13" t="s">
        <v>84</v>
      </c>
    </row>
    <row r="50" spans="1:4" x14ac:dyDescent="0.2">
      <c r="A50" s="12" t="s">
        <v>56</v>
      </c>
      <c r="B50" s="12" t="s">
        <v>87</v>
      </c>
      <c r="C50" s="12" t="s">
        <v>126</v>
      </c>
      <c r="D50" s="13" t="s">
        <v>84</v>
      </c>
    </row>
    <row r="51" spans="1:4" x14ac:dyDescent="0.2">
      <c r="A51" s="12" t="s">
        <v>56</v>
      </c>
      <c r="B51" s="12" t="s">
        <v>89</v>
      </c>
      <c r="C51" s="12" t="s">
        <v>127</v>
      </c>
      <c r="D51" s="13" t="s">
        <v>84</v>
      </c>
    </row>
    <row r="52" spans="1:4" x14ac:dyDescent="0.2">
      <c r="A52" s="12" t="s">
        <v>56</v>
      </c>
      <c r="B52" s="12" t="s">
        <v>91</v>
      </c>
      <c r="C52" s="12" t="s">
        <v>128</v>
      </c>
      <c r="D52" s="13" t="s">
        <v>84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tabSelected="1" zoomScaleNormal="100" workbookViewId="0">
      <pane xSplit="2" ySplit="4" topLeftCell="C5" activePane="bottomRight" state="frozen"/>
      <selection pane="topRight" activeCell="C1" sqref="C1"/>
      <selection pane="bottomLeft" activeCell="A5" sqref="A5"/>
      <selection pane="bottomRight" activeCell="E16" sqref="E16"/>
    </sheetView>
  </sheetViews>
  <sheetFormatPr baseColWidth="10" defaultColWidth="8.6640625" defaultRowHeight="15" x14ac:dyDescent="0.2"/>
  <cols>
    <col min="1" max="1" width="7" customWidth="1"/>
    <col min="2" max="2" width="38" customWidth="1"/>
    <col min="3" max="3" width="11" customWidth="1"/>
    <col min="4" max="5" width="10" customWidth="1"/>
    <col min="6" max="6" width="12" customWidth="1"/>
    <col min="7" max="7" width="16" customWidth="1"/>
    <col min="8" max="8" width="44" customWidth="1"/>
    <col min="9" max="9" width="50" customWidth="1"/>
    <col min="10" max="10" width="11" customWidth="1"/>
    <col min="11" max="11" width="13" customWidth="1"/>
    <col min="12" max="12" width="14" customWidth="1"/>
    <col min="13" max="13" width="11" customWidth="1"/>
    <col min="14" max="14" width="14" customWidth="1"/>
    <col min="15" max="15" width="13" customWidth="1"/>
    <col min="16" max="16" width="10" customWidth="1"/>
  </cols>
  <sheetData>
    <row r="1" spans="1:16" ht="18" x14ac:dyDescent="0.2">
      <c r="A1" s="1" t="s">
        <v>129</v>
      </c>
    </row>
    <row r="2" spans="1:16" x14ac:dyDescent="0.2">
      <c r="A2" s="2"/>
    </row>
    <row r="3" spans="1:16" ht="15" customHeight="1" x14ac:dyDescent="0.2">
      <c r="J3" s="31" t="s">
        <v>130</v>
      </c>
      <c r="K3" s="31"/>
      <c r="L3" s="31"/>
      <c r="M3" s="31"/>
      <c r="N3" s="31"/>
      <c r="O3" s="31"/>
    </row>
    <row r="4" spans="1:16" ht="45" customHeight="1" x14ac:dyDescent="0.2">
      <c r="A4" s="3" t="s">
        <v>131</v>
      </c>
      <c r="B4" s="3" t="s">
        <v>132</v>
      </c>
      <c r="C4" s="3" t="s">
        <v>133</v>
      </c>
      <c r="D4" s="3" t="s">
        <v>134</v>
      </c>
      <c r="E4" s="3" t="s">
        <v>135</v>
      </c>
      <c r="F4" s="3" t="s">
        <v>136</v>
      </c>
      <c r="G4" s="3" t="s">
        <v>137</v>
      </c>
      <c r="H4" s="3" t="s">
        <v>138</v>
      </c>
      <c r="I4" s="3" t="s">
        <v>139</v>
      </c>
      <c r="J4" s="3" t="s">
        <v>23</v>
      </c>
      <c r="K4" s="3" t="s">
        <v>24</v>
      </c>
      <c r="L4" s="3" t="s">
        <v>25</v>
      </c>
      <c r="M4" s="3" t="s">
        <v>26</v>
      </c>
      <c r="N4" s="3" t="s">
        <v>27</v>
      </c>
      <c r="O4" s="3" t="s">
        <v>28</v>
      </c>
      <c r="P4" s="3" t="s">
        <v>140</v>
      </c>
    </row>
    <row r="5" spans="1:16" ht="28" x14ac:dyDescent="0.2">
      <c r="A5" s="9" t="s">
        <v>141</v>
      </c>
      <c r="B5" s="4" t="s">
        <v>142</v>
      </c>
      <c r="C5" s="7">
        <v>30</v>
      </c>
      <c r="D5" s="7">
        <v>8</v>
      </c>
      <c r="E5" s="7">
        <v>22</v>
      </c>
      <c r="F5" s="11" t="s">
        <v>69</v>
      </c>
      <c r="G5" s="11" t="str">
        <f t="shared" ref="G5:G20" si="0">IF(D5+E5=C5,"ок","ОШИБКА")</f>
        <v>ок</v>
      </c>
      <c r="H5" s="4" t="s">
        <v>143</v>
      </c>
      <c r="I5" s="4" t="s">
        <v>144</v>
      </c>
      <c r="J5" s="14">
        <v>0</v>
      </c>
      <c r="K5" s="14">
        <v>0</v>
      </c>
      <c r="L5" s="14">
        <v>2</v>
      </c>
      <c r="M5" s="14">
        <v>1</v>
      </c>
      <c r="N5" s="14">
        <v>0</v>
      </c>
      <c r="O5" s="14">
        <v>1</v>
      </c>
      <c r="P5" s="33">
        <f>SUM(J5:O5)</f>
        <v>4</v>
      </c>
    </row>
    <row r="6" spans="1:16" ht="28" x14ac:dyDescent="0.2">
      <c r="A6" s="9" t="s">
        <v>145</v>
      </c>
      <c r="B6" s="4" t="s">
        <v>146</v>
      </c>
      <c r="C6" s="7">
        <v>20</v>
      </c>
      <c r="D6" s="7">
        <v>5</v>
      </c>
      <c r="E6" s="7">
        <v>15</v>
      </c>
      <c r="F6" s="11" t="s">
        <v>69</v>
      </c>
      <c r="G6" s="11" t="str">
        <f t="shared" si="0"/>
        <v>ок</v>
      </c>
      <c r="H6" s="4" t="s">
        <v>147</v>
      </c>
      <c r="I6" s="4" t="s">
        <v>148</v>
      </c>
      <c r="J6" s="14">
        <v>1</v>
      </c>
      <c r="K6" s="14">
        <v>1</v>
      </c>
      <c r="L6" s="14">
        <v>0</v>
      </c>
      <c r="M6" s="14">
        <v>0</v>
      </c>
      <c r="N6" s="14">
        <v>2</v>
      </c>
      <c r="O6" s="14">
        <v>0</v>
      </c>
      <c r="P6" s="11">
        <f t="shared" ref="P5:P20" si="1">SUM(J6:O6)</f>
        <v>4</v>
      </c>
    </row>
    <row r="7" spans="1:16" ht="28" x14ac:dyDescent="0.2">
      <c r="A7" s="9" t="s">
        <v>149</v>
      </c>
      <c r="B7" s="4" t="s">
        <v>150</v>
      </c>
      <c r="C7" s="7">
        <v>25</v>
      </c>
      <c r="D7" s="7">
        <v>7</v>
      </c>
      <c r="E7" s="7">
        <v>18</v>
      </c>
      <c r="F7" s="11" t="s">
        <v>69</v>
      </c>
      <c r="G7" s="11" t="str">
        <f t="shared" si="0"/>
        <v>ок</v>
      </c>
      <c r="H7" s="4" t="s">
        <v>151</v>
      </c>
      <c r="I7" s="4" t="s">
        <v>152</v>
      </c>
      <c r="J7" s="14">
        <v>-1</v>
      </c>
      <c r="K7" s="14">
        <v>0</v>
      </c>
      <c r="L7" s="14">
        <v>2</v>
      </c>
      <c r="M7" s="14">
        <v>1</v>
      </c>
      <c r="N7" s="14">
        <v>0</v>
      </c>
      <c r="O7" s="14">
        <v>1</v>
      </c>
      <c r="P7" s="11">
        <f t="shared" si="1"/>
        <v>3</v>
      </c>
    </row>
    <row r="8" spans="1:16" ht="28" x14ac:dyDescent="0.2">
      <c r="A8" s="9" t="s">
        <v>153</v>
      </c>
      <c r="B8" s="4" t="s">
        <v>154</v>
      </c>
      <c r="C8" s="7">
        <v>15</v>
      </c>
      <c r="D8" s="7">
        <v>15</v>
      </c>
      <c r="E8" s="7">
        <v>0</v>
      </c>
      <c r="F8" s="11" t="s">
        <v>84</v>
      </c>
      <c r="G8" s="11" t="str">
        <f t="shared" si="0"/>
        <v>ок</v>
      </c>
      <c r="H8" s="4" t="s">
        <v>155</v>
      </c>
      <c r="I8" s="4" t="s">
        <v>156</v>
      </c>
      <c r="J8" s="14">
        <v>0</v>
      </c>
      <c r="K8" s="14">
        <v>0</v>
      </c>
      <c r="L8" s="14">
        <v>2</v>
      </c>
      <c r="M8" s="14">
        <v>-1</v>
      </c>
      <c r="N8" s="14">
        <v>0</v>
      </c>
      <c r="O8" s="14">
        <v>2</v>
      </c>
      <c r="P8" s="11">
        <f t="shared" si="1"/>
        <v>3</v>
      </c>
    </row>
    <row r="9" spans="1:16" ht="28" x14ac:dyDescent="0.2">
      <c r="A9" s="9" t="s">
        <v>157</v>
      </c>
      <c r="B9" s="4" t="s">
        <v>158</v>
      </c>
      <c r="C9" s="7">
        <v>20</v>
      </c>
      <c r="D9" s="7">
        <v>5</v>
      </c>
      <c r="E9" s="7">
        <v>15</v>
      </c>
      <c r="F9" s="11" t="s">
        <v>69</v>
      </c>
      <c r="G9" s="11" t="str">
        <f t="shared" si="0"/>
        <v>ок</v>
      </c>
      <c r="H9" s="4" t="s">
        <v>159</v>
      </c>
      <c r="I9" s="4" t="s">
        <v>160</v>
      </c>
      <c r="J9" s="14">
        <v>1</v>
      </c>
      <c r="K9" s="14">
        <v>1</v>
      </c>
      <c r="L9" s="14">
        <v>0</v>
      </c>
      <c r="M9" s="14">
        <v>0</v>
      </c>
      <c r="N9" s="14">
        <v>2</v>
      </c>
      <c r="O9" s="14">
        <v>0</v>
      </c>
      <c r="P9" s="11">
        <f t="shared" si="1"/>
        <v>4</v>
      </c>
    </row>
    <row r="10" spans="1:16" ht="28" x14ac:dyDescent="0.2">
      <c r="A10" s="9" t="s">
        <v>161</v>
      </c>
      <c r="B10" s="4" t="s">
        <v>162</v>
      </c>
      <c r="C10" s="7">
        <v>18</v>
      </c>
      <c r="D10" s="7">
        <v>5</v>
      </c>
      <c r="E10" s="7">
        <v>13</v>
      </c>
      <c r="F10" s="11" t="s">
        <v>69</v>
      </c>
      <c r="G10" s="11" t="str">
        <f t="shared" si="0"/>
        <v>ок</v>
      </c>
      <c r="H10" s="4" t="s">
        <v>163</v>
      </c>
      <c r="I10" s="4" t="s">
        <v>164</v>
      </c>
      <c r="J10" s="14">
        <v>2</v>
      </c>
      <c r="K10" s="14">
        <v>1</v>
      </c>
      <c r="L10" s="14">
        <v>1</v>
      </c>
      <c r="M10" s="14">
        <v>-1</v>
      </c>
      <c r="N10" s="14">
        <v>1</v>
      </c>
      <c r="O10" s="14">
        <v>0</v>
      </c>
      <c r="P10" s="11">
        <f t="shared" si="1"/>
        <v>4</v>
      </c>
    </row>
    <row r="11" spans="1:16" ht="28" x14ac:dyDescent="0.2">
      <c r="A11" s="9" t="s">
        <v>165</v>
      </c>
      <c r="B11" s="4" t="s">
        <v>166</v>
      </c>
      <c r="C11" s="7">
        <v>30</v>
      </c>
      <c r="D11" s="7">
        <v>8</v>
      </c>
      <c r="E11" s="7">
        <v>22</v>
      </c>
      <c r="F11" s="11" t="s">
        <v>69</v>
      </c>
      <c r="G11" s="11" t="str">
        <f t="shared" si="0"/>
        <v>ок</v>
      </c>
      <c r="H11" s="4" t="s">
        <v>167</v>
      </c>
      <c r="I11" s="4" t="s">
        <v>168</v>
      </c>
      <c r="J11" s="14">
        <v>2</v>
      </c>
      <c r="K11" s="14">
        <v>0</v>
      </c>
      <c r="L11" s="14">
        <v>1</v>
      </c>
      <c r="M11" s="14">
        <v>0</v>
      </c>
      <c r="N11" s="14">
        <v>1</v>
      </c>
      <c r="O11" s="14">
        <v>1</v>
      </c>
      <c r="P11" s="11">
        <f t="shared" si="1"/>
        <v>5</v>
      </c>
    </row>
    <row r="12" spans="1:16" ht="28" x14ac:dyDescent="0.2">
      <c r="A12" s="9" t="s">
        <v>169</v>
      </c>
      <c r="B12" s="4" t="s">
        <v>170</v>
      </c>
      <c r="C12" s="7">
        <v>25</v>
      </c>
      <c r="D12" s="7">
        <v>6</v>
      </c>
      <c r="E12" s="7">
        <v>19</v>
      </c>
      <c r="F12" s="29" t="s">
        <v>69</v>
      </c>
      <c r="G12" s="11" t="str">
        <f t="shared" si="0"/>
        <v>ок</v>
      </c>
      <c r="H12" s="4" t="s">
        <v>171</v>
      </c>
      <c r="I12" s="4" t="s">
        <v>172</v>
      </c>
      <c r="J12" s="14">
        <v>1</v>
      </c>
      <c r="K12" s="14">
        <v>1</v>
      </c>
      <c r="L12" s="14">
        <v>2</v>
      </c>
      <c r="M12" s="14">
        <v>0</v>
      </c>
      <c r="N12" s="14">
        <v>0</v>
      </c>
      <c r="O12" s="14">
        <v>0</v>
      </c>
      <c r="P12" s="11">
        <f t="shared" si="1"/>
        <v>4</v>
      </c>
    </row>
    <row r="13" spans="1:16" ht="28" x14ac:dyDescent="0.2">
      <c r="A13" s="9" t="s">
        <v>173</v>
      </c>
      <c r="B13" s="4" t="s">
        <v>174</v>
      </c>
      <c r="C13" s="7">
        <v>25</v>
      </c>
      <c r="D13" s="7">
        <v>7</v>
      </c>
      <c r="E13" s="7">
        <v>18</v>
      </c>
      <c r="F13" s="11" t="s">
        <v>69</v>
      </c>
      <c r="G13" s="11" t="str">
        <f t="shared" si="0"/>
        <v>ок</v>
      </c>
      <c r="H13" s="4" t="s">
        <v>175</v>
      </c>
      <c r="I13" s="4" t="s">
        <v>176</v>
      </c>
      <c r="J13" s="14">
        <v>0</v>
      </c>
      <c r="K13" s="14">
        <v>2</v>
      </c>
      <c r="L13" s="14">
        <v>1</v>
      </c>
      <c r="M13" s="14">
        <v>0</v>
      </c>
      <c r="N13" s="14">
        <v>1</v>
      </c>
      <c r="O13" s="14">
        <v>0</v>
      </c>
      <c r="P13" s="11">
        <f t="shared" si="1"/>
        <v>4</v>
      </c>
    </row>
    <row r="14" spans="1:16" ht="42" x14ac:dyDescent="0.2">
      <c r="A14" s="9" t="s">
        <v>177</v>
      </c>
      <c r="B14" s="4" t="s">
        <v>178</v>
      </c>
      <c r="C14" s="7">
        <v>18</v>
      </c>
      <c r="D14" s="7">
        <v>5</v>
      </c>
      <c r="E14" s="7">
        <v>13</v>
      </c>
      <c r="F14" s="11" t="s">
        <v>69</v>
      </c>
      <c r="G14" s="11" t="str">
        <f t="shared" si="0"/>
        <v>ок</v>
      </c>
      <c r="H14" s="4" t="s">
        <v>179</v>
      </c>
      <c r="I14" s="4" t="s">
        <v>180</v>
      </c>
      <c r="J14" s="14">
        <v>0</v>
      </c>
      <c r="K14" s="14">
        <v>0</v>
      </c>
      <c r="L14" s="14">
        <v>1</v>
      </c>
      <c r="M14" s="14">
        <v>0</v>
      </c>
      <c r="N14" s="14">
        <v>0</v>
      </c>
      <c r="O14" s="14">
        <v>2</v>
      </c>
      <c r="P14" s="11">
        <f t="shared" si="1"/>
        <v>3</v>
      </c>
    </row>
    <row r="15" spans="1:16" ht="28" x14ac:dyDescent="0.2">
      <c r="A15" s="9" t="s">
        <v>181</v>
      </c>
      <c r="B15" s="4" t="s">
        <v>182</v>
      </c>
      <c r="C15" s="7">
        <v>30</v>
      </c>
      <c r="D15" s="7">
        <v>8</v>
      </c>
      <c r="E15" s="7">
        <v>22</v>
      </c>
      <c r="F15" s="11" t="s">
        <v>69</v>
      </c>
      <c r="G15" s="11" t="str">
        <f t="shared" si="0"/>
        <v>ок</v>
      </c>
      <c r="H15" s="4" t="s">
        <v>183</v>
      </c>
      <c r="I15" s="4" t="s">
        <v>184</v>
      </c>
      <c r="J15" s="14">
        <v>1</v>
      </c>
      <c r="K15" s="14">
        <v>2</v>
      </c>
      <c r="L15" s="14">
        <v>0</v>
      </c>
      <c r="M15" s="14">
        <v>-1</v>
      </c>
      <c r="N15" s="14">
        <v>2</v>
      </c>
      <c r="O15" s="14">
        <v>0</v>
      </c>
      <c r="P15" s="11">
        <f t="shared" si="1"/>
        <v>4</v>
      </c>
    </row>
    <row r="16" spans="1:16" ht="28" x14ac:dyDescent="0.2">
      <c r="A16" s="9" t="s">
        <v>185</v>
      </c>
      <c r="B16" s="4" t="s">
        <v>186</v>
      </c>
      <c r="C16" s="7">
        <v>25</v>
      </c>
      <c r="D16" s="7">
        <v>6</v>
      </c>
      <c r="E16" s="7">
        <v>19</v>
      </c>
      <c r="F16" s="11" t="s">
        <v>69</v>
      </c>
      <c r="G16" s="11" t="str">
        <f t="shared" si="0"/>
        <v>ок</v>
      </c>
      <c r="H16" s="4" t="s">
        <v>187</v>
      </c>
      <c r="I16" s="4" t="s">
        <v>188</v>
      </c>
      <c r="J16" s="14">
        <v>2</v>
      </c>
      <c r="K16" s="14">
        <v>1</v>
      </c>
      <c r="L16" s="14">
        <v>0</v>
      </c>
      <c r="M16" s="14">
        <v>-1</v>
      </c>
      <c r="N16" s="14">
        <v>1</v>
      </c>
      <c r="O16" s="14">
        <v>1</v>
      </c>
      <c r="P16" s="11">
        <f t="shared" si="1"/>
        <v>4</v>
      </c>
    </row>
    <row r="17" spans="1:16" ht="28" x14ac:dyDescent="0.2">
      <c r="A17" s="9" t="s">
        <v>189</v>
      </c>
      <c r="B17" s="4" t="s">
        <v>190</v>
      </c>
      <c r="C17" s="7">
        <v>20</v>
      </c>
      <c r="D17" s="7">
        <v>5</v>
      </c>
      <c r="E17" s="7">
        <v>15</v>
      </c>
      <c r="F17" s="29" t="s">
        <v>69</v>
      </c>
      <c r="G17" s="11" t="str">
        <f t="shared" si="0"/>
        <v>ок</v>
      </c>
      <c r="H17" s="4" t="s">
        <v>191</v>
      </c>
      <c r="I17" s="4" t="s">
        <v>192</v>
      </c>
      <c r="J17" s="14">
        <v>0</v>
      </c>
      <c r="K17" s="14">
        <v>0</v>
      </c>
      <c r="L17" s="14">
        <v>0</v>
      </c>
      <c r="M17" s="14">
        <v>2</v>
      </c>
      <c r="N17" s="14">
        <v>0</v>
      </c>
      <c r="O17" s="14">
        <v>1</v>
      </c>
      <c r="P17" s="11">
        <f t="shared" si="1"/>
        <v>3</v>
      </c>
    </row>
    <row r="18" spans="1:16" ht="28" x14ac:dyDescent="0.2">
      <c r="A18" s="9" t="s">
        <v>193</v>
      </c>
      <c r="B18" s="4" t="s">
        <v>194</v>
      </c>
      <c r="C18" s="7">
        <v>25</v>
      </c>
      <c r="D18" s="7">
        <v>7</v>
      </c>
      <c r="E18" s="7">
        <v>18</v>
      </c>
      <c r="F18" s="11" t="s">
        <v>69</v>
      </c>
      <c r="G18" s="11" t="str">
        <f t="shared" si="0"/>
        <v>ок</v>
      </c>
      <c r="H18" s="4" t="s">
        <v>195</v>
      </c>
      <c r="I18" s="4" t="s">
        <v>196</v>
      </c>
      <c r="J18" s="14">
        <v>1</v>
      </c>
      <c r="K18" s="14">
        <v>1</v>
      </c>
      <c r="L18" s="14">
        <v>0</v>
      </c>
      <c r="M18" s="14">
        <v>0</v>
      </c>
      <c r="N18" s="14">
        <v>2</v>
      </c>
      <c r="O18" s="14">
        <v>0</v>
      </c>
      <c r="P18" s="11">
        <f t="shared" si="1"/>
        <v>4</v>
      </c>
    </row>
    <row r="19" spans="1:16" ht="28" x14ac:dyDescent="0.2">
      <c r="A19" s="9" t="s">
        <v>197</v>
      </c>
      <c r="B19" s="4" t="s">
        <v>198</v>
      </c>
      <c r="C19" s="7">
        <v>25</v>
      </c>
      <c r="D19" s="7">
        <v>7</v>
      </c>
      <c r="E19" s="7">
        <v>18</v>
      </c>
      <c r="F19" s="11" t="s">
        <v>69</v>
      </c>
      <c r="G19" s="11" t="str">
        <f t="shared" si="0"/>
        <v>ок</v>
      </c>
      <c r="H19" s="4" t="s">
        <v>199</v>
      </c>
      <c r="I19" s="4" t="s">
        <v>200</v>
      </c>
      <c r="J19" s="14">
        <v>0</v>
      </c>
      <c r="K19" s="14">
        <v>0</v>
      </c>
      <c r="L19" s="14">
        <v>1</v>
      </c>
      <c r="M19" s="14">
        <v>2</v>
      </c>
      <c r="N19" s="14">
        <v>0</v>
      </c>
      <c r="O19" s="14">
        <v>1</v>
      </c>
      <c r="P19" s="11">
        <f t="shared" si="1"/>
        <v>4</v>
      </c>
    </row>
    <row r="20" spans="1:16" ht="28" x14ac:dyDescent="0.2">
      <c r="A20" s="9" t="s">
        <v>201</v>
      </c>
      <c r="B20" s="4" t="s">
        <v>202</v>
      </c>
      <c r="C20" s="7">
        <v>30</v>
      </c>
      <c r="D20" s="7">
        <v>8</v>
      </c>
      <c r="E20" s="7">
        <v>22</v>
      </c>
      <c r="F20" s="11" t="s">
        <v>69</v>
      </c>
      <c r="G20" s="11" t="str">
        <f t="shared" si="0"/>
        <v>ок</v>
      </c>
      <c r="H20" s="4" t="s">
        <v>203</v>
      </c>
      <c r="I20" s="4" t="s">
        <v>204</v>
      </c>
      <c r="J20" s="14">
        <v>0</v>
      </c>
      <c r="K20" s="14">
        <v>2</v>
      </c>
      <c r="L20" s="14">
        <v>1</v>
      </c>
      <c r="M20" s="14">
        <v>0</v>
      </c>
      <c r="N20" s="14">
        <v>1</v>
      </c>
      <c r="O20" s="14">
        <v>0</v>
      </c>
      <c r="P20" s="11">
        <f t="shared" si="1"/>
        <v>4</v>
      </c>
    </row>
    <row r="21" spans="1:16" x14ac:dyDescent="0.2">
      <c r="A21" s="5"/>
      <c r="B21" s="5" t="s">
        <v>205</v>
      </c>
      <c r="C21" s="15">
        <f>SUM(C5:C20)</f>
        <v>381</v>
      </c>
      <c r="D21" s="15">
        <f>SUM(D5:D20)</f>
        <v>112</v>
      </c>
      <c r="E21" s="15">
        <f>SUM(E5:E20)</f>
        <v>269</v>
      </c>
      <c r="F21" s="5"/>
      <c r="G21" s="5"/>
      <c r="H21" s="5"/>
      <c r="I21" s="5"/>
      <c r="J21" s="5"/>
      <c r="K21" s="5"/>
      <c r="L21" s="5"/>
      <c r="M21" s="5"/>
      <c r="N21" s="5"/>
      <c r="O21" s="5"/>
      <c r="P21" s="5"/>
    </row>
    <row r="23" spans="1:16" x14ac:dyDescent="0.2">
      <c r="A23" s="2"/>
    </row>
  </sheetData>
  <mergeCells count="1">
    <mergeCell ref="J3:O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2"/>
  <sheetViews>
    <sheetView zoomScaleNormal="100" workbookViewId="0">
      <pane xSplit="3" ySplit="4" topLeftCell="D5" activePane="bottomRight" state="frozen"/>
      <selection pane="topRight" activeCell="D1" sqref="D1"/>
      <selection pane="bottomLeft" activeCell="A5" sqref="A5"/>
      <selection pane="bottomRight" activeCell="I15" sqref="I15"/>
    </sheetView>
  </sheetViews>
  <sheetFormatPr baseColWidth="10" defaultColWidth="8.6640625" defaultRowHeight="15" x14ac:dyDescent="0.2"/>
  <cols>
    <col min="1" max="1" width="8" customWidth="1"/>
    <col min="2" max="2" width="15" customWidth="1"/>
    <col min="3" max="3" width="30" customWidth="1"/>
    <col min="4" max="4" width="52" customWidth="1"/>
    <col min="5" max="5" width="14" customWidth="1"/>
    <col min="6" max="6" width="60" customWidth="1"/>
    <col min="7" max="7" width="20" customWidth="1"/>
    <col min="8" max="8" width="12" customWidth="1"/>
  </cols>
  <sheetData>
    <row r="1" spans="1:8" ht="18" x14ac:dyDescent="0.2">
      <c r="A1" s="1" t="s">
        <v>206</v>
      </c>
    </row>
    <row r="2" spans="1:8" x14ac:dyDescent="0.2">
      <c r="A2" s="2" t="s">
        <v>207</v>
      </c>
    </row>
    <row r="3" spans="1:8" ht="23.75" customHeight="1" x14ac:dyDescent="0.2">
      <c r="G3" s="31" t="s">
        <v>208</v>
      </c>
      <c r="H3" s="31"/>
    </row>
    <row r="4" spans="1:8" ht="45" customHeight="1" x14ac:dyDescent="0.2">
      <c r="A4" s="3" t="s">
        <v>131</v>
      </c>
      <c r="B4" s="3" t="s">
        <v>209</v>
      </c>
      <c r="C4" s="3" t="s">
        <v>210</v>
      </c>
      <c r="D4" s="3" t="s">
        <v>211</v>
      </c>
      <c r="E4" s="3" t="s">
        <v>212</v>
      </c>
      <c r="F4" s="3" t="s">
        <v>213</v>
      </c>
      <c r="G4" s="3" t="s">
        <v>214</v>
      </c>
      <c r="H4" s="3" t="s">
        <v>215</v>
      </c>
    </row>
    <row r="5" spans="1:8" ht="28" x14ac:dyDescent="0.2">
      <c r="A5" s="16" t="s">
        <v>216</v>
      </c>
      <c r="B5" s="17" t="s">
        <v>217</v>
      </c>
      <c r="C5" s="4" t="s">
        <v>218</v>
      </c>
      <c r="D5" s="4" t="s">
        <v>219</v>
      </c>
      <c r="E5" s="18">
        <v>25</v>
      </c>
      <c r="F5" s="4" t="s">
        <v>220</v>
      </c>
      <c r="G5" s="19" t="s">
        <v>155</v>
      </c>
      <c r="H5" s="19" t="s">
        <v>155</v>
      </c>
    </row>
    <row r="6" spans="1:8" ht="28" x14ac:dyDescent="0.2">
      <c r="A6" s="16" t="s">
        <v>221</v>
      </c>
      <c r="B6" s="17" t="s">
        <v>217</v>
      </c>
      <c r="C6" s="4" t="s">
        <v>222</v>
      </c>
      <c r="D6" s="4" t="s">
        <v>223</v>
      </c>
      <c r="E6" s="18">
        <v>15</v>
      </c>
      <c r="F6" s="4" t="s">
        <v>224</v>
      </c>
      <c r="G6" s="19" t="s">
        <v>155</v>
      </c>
      <c r="H6" s="19" t="s">
        <v>155</v>
      </c>
    </row>
    <row r="7" spans="1:8" ht="28" x14ac:dyDescent="0.2">
      <c r="A7" s="16" t="s">
        <v>225</v>
      </c>
      <c r="B7" s="17" t="s">
        <v>217</v>
      </c>
      <c r="C7" s="4" t="s">
        <v>226</v>
      </c>
      <c r="D7" s="4" t="s">
        <v>227</v>
      </c>
      <c r="E7" s="18">
        <v>20</v>
      </c>
      <c r="F7" s="4" t="s">
        <v>228</v>
      </c>
      <c r="G7" s="19" t="s">
        <v>155</v>
      </c>
      <c r="H7" s="19" t="s">
        <v>155</v>
      </c>
    </row>
    <row r="8" spans="1:8" ht="28" x14ac:dyDescent="0.2">
      <c r="A8" s="16" t="s">
        <v>229</v>
      </c>
      <c r="B8" s="17" t="s">
        <v>217</v>
      </c>
      <c r="C8" s="4" t="s">
        <v>230</v>
      </c>
      <c r="D8" s="4" t="s">
        <v>231</v>
      </c>
      <c r="E8" s="18">
        <v>30</v>
      </c>
      <c r="F8" s="4" t="s">
        <v>232</v>
      </c>
      <c r="G8" s="19" t="s">
        <v>155</v>
      </c>
      <c r="H8" s="19" t="s">
        <v>155</v>
      </c>
    </row>
    <row r="9" spans="1:8" ht="28" x14ac:dyDescent="0.2">
      <c r="A9" s="16" t="s">
        <v>233</v>
      </c>
      <c r="B9" s="17" t="s">
        <v>217</v>
      </c>
      <c r="C9" s="4" t="s">
        <v>234</v>
      </c>
      <c r="D9" s="4" t="s">
        <v>235</v>
      </c>
      <c r="E9" s="18">
        <v>22</v>
      </c>
      <c r="F9" s="4" t="s">
        <v>236</v>
      </c>
      <c r="G9" s="19" t="s">
        <v>155</v>
      </c>
      <c r="H9" s="19" t="s">
        <v>155</v>
      </c>
    </row>
    <row r="10" spans="1:8" ht="28" x14ac:dyDescent="0.2">
      <c r="A10" s="16" t="s">
        <v>237</v>
      </c>
      <c r="B10" s="17" t="s">
        <v>217</v>
      </c>
      <c r="C10" s="4" t="s">
        <v>238</v>
      </c>
      <c r="D10" s="4" t="s">
        <v>239</v>
      </c>
      <c r="E10" s="18">
        <v>18</v>
      </c>
      <c r="F10" s="4" t="s">
        <v>240</v>
      </c>
      <c r="G10" s="19" t="s">
        <v>155</v>
      </c>
      <c r="H10" s="19" t="s">
        <v>155</v>
      </c>
    </row>
    <row r="11" spans="1:8" ht="28" x14ac:dyDescent="0.2">
      <c r="A11" s="16" t="s">
        <v>241</v>
      </c>
      <c r="B11" s="17" t="s">
        <v>217</v>
      </c>
      <c r="C11" s="4" t="s">
        <v>242</v>
      </c>
      <c r="D11" s="4" t="s">
        <v>243</v>
      </c>
      <c r="E11" s="18">
        <v>15</v>
      </c>
      <c r="F11" s="4" t="s">
        <v>244</v>
      </c>
      <c r="G11" s="19" t="s">
        <v>155</v>
      </c>
      <c r="H11" s="19" t="s">
        <v>155</v>
      </c>
    </row>
    <row r="12" spans="1:8" ht="28" x14ac:dyDescent="0.2">
      <c r="A12" s="16" t="s">
        <v>245</v>
      </c>
      <c r="B12" s="17" t="s">
        <v>217</v>
      </c>
      <c r="C12" s="4" t="s">
        <v>246</v>
      </c>
      <c r="D12" s="4" t="s">
        <v>247</v>
      </c>
      <c r="E12" s="18">
        <v>18</v>
      </c>
      <c r="F12" s="4" t="s">
        <v>248</v>
      </c>
      <c r="G12" s="19" t="s">
        <v>155</v>
      </c>
      <c r="H12" s="19" t="s">
        <v>155</v>
      </c>
    </row>
    <row r="13" spans="1:8" ht="28" x14ac:dyDescent="0.2">
      <c r="A13" s="16" t="s">
        <v>249</v>
      </c>
      <c r="B13" s="17" t="s">
        <v>250</v>
      </c>
      <c r="C13" s="4" t="s">
        <v>251</v>
      </c>
      <c r="D13" s="4" t="s">
        <v>252</v>
      </c>
      <c r="E13" s="18" t="s">
        <v>155</v>
      </c>
      <c r="F13" s="4" t="s">
        <v>253</v>
      </c>
      <c r="G13" s="19" t="s">
        <v>23</v>
      </c>
      <c r="H13" s="20">
        <v>2</v>
      </c>
    </row>
    <row r="14" spans="1:8" ht="42" x14ac:dyDescent="0.2">
      <c r="A14" s="16" t="s">
        <v>254</v>
      </c>
      <c r="B14" s="17" t="s">
        <v>250</v>
      </c>
      <c r="C14" s="4" t="s">
        <v>255</v>
      </c>
      <c r="D14" s="4" t="s">
        <v>256</v>
      </c>
      <c r="E14" s="18" t="s">
        <v>155</v>
      </c>
      <c r="F14" s="4" t="s">
        <v>257</v>
      </c>
      <c r="G14" s="19" t="s">
        <v>25</v>
      </c>
      <c r="H14" s="20">
        <v>2</v>
      </c>
    </row>
    <row r="15" spans="1:8" ht="42" x14ac:dyDescent="0.2">
      <c r="A15" s="16" t="s">
        <v>258</v>
      </c>
      <c r="B15" s="17" t="s">
        <v>250</v>
      </c>
      <c r="C15" s="4" t="s">
        <v>259</v>
      </c>
      <c r="D15" s="4" t="s">
        <v>260</v>
      </c>
      <c r="E15" s="18" t="s">
        <v>155</v>
      </c>
      <c r="F15" s="4" t="s">
        <v>261</v>
      </c>
      <c r="G15" s="19" t="s">
        <v>25</v>
      </c>
      <c r="H15" s="20">
        <v>1</v>
      </c>
    </row>
    <row r="16" spans="1:8" ht="28" x14ac:dyDescent="0.2">
      <c r="A16" s="16" t="s">
        <v>262</v>
      </c>
      <c r="B16" s="17" t="s">
        <v>250</v>
      </c>
      <c r="C16" s="4" t="s">
        <v>263</v>
      </c>
      <c r="D16" s="4" t="s">
        <v>264</v>
      </c>
      <c r="E16" s="18" t="s">
        <v>155</v>
      </c>
      <c r="F16" s="4" t="s">
        <v>265</v>
      </c>
      <c r="G16" s="19" t="s">
        <v>27</v>
      </c>
      <c r="H16" s="20">
        <v>1</v>
      </c>
    </row>
    <row r="17" spans="1:8" ht="28" x14ac:dyDescent="0.2">
      <c r="A17" s="16" t="s">
        <v>266</v>
      </c>
      <c r="B17" s="17" t="s">
        <v>250</v>
      </c>
      <c r="C17" s="4" t="s">
        <v>267</v>
      </c>
      <c r="D17" s="4" t="s">
        <v>268</v>
      </c>
      <c r="E17" s="18" t="s">
        <v>155</v>
      </c>
      <c r="F17" s="4" t="s">
        <v>269</v>
      </c>
      <c r="G17" s="19" t="s">
        <v>27</v>
      </c>
      <c r="H17" s="20">
        <v>2</v>
      </c>
    </row>
    <row r="18" spans="1:8" ht="28" x14ac:dyDescent="0.2">
      <c r="A18" s="16" t="s">
        <v>270</v>
      </c>
      <c r="B18" s="17" t="s">
        <v>250</v>
      </c>
      <c r="C18" s="4" t="s">
        <v>271</v>
      </c>
      <c r="D18" s="4" t="s">
        <v>272</v>
      </c>
      <c r="E18" s="18" t="s">
        <v>155</v>
      </c>
      <c r="F18" s="4" t="s">
        <v>273</v>
      </c>
      <c r="G18" s="19" t="s">
        <v>23</v>
      </c>
      <c r="H18" s="20">
        <v>1</v>
      </c>
    </row>
    <row r="19" spans="1:8" ht="28" x14ac:dyDescent="0.2">
      <c r="A19" s="16" t="s">
        <v>274</v>
      </c>
      <c r="B19" s="17" t="s">
        <v>250</v>
      </c>
      <c r="C19" s="4" t="s">
        <v>275</v>
      </c>
      <c r="D19" s="4" t="s">
        <v>276</v>
      </c>
      <c r="E19" s="18" t="s">
        <v>155</v>
      </c>
      <c r="F19" s="4" t="s">
        <v>277</v>
      </c>
      <c r="G19" s="19" t="s">
        <v>26</v>
      </c>
      <c r="H19" s="20">
        <v>2</v>
      </c>
    </row>
    <row r="20" spans="1:8" ht="28" x14ac:dyDescent="0.2">
      <c r="A20" s="16" t="s">
        <v>278</v>
      </c>
      <c r="B20" s="17" t="s">
        <v>279</v>
      </c>
      <c r="C20" s="4" t="s">
        <v>280</v>
      </c>
      <c r="D20" s="4" t="s">
        <v>281</v>
      </c>
      <c r="E20" s="18" t="s">
        <v>155</v>
      </c>
      <c r="F20" s="4" t="s">
        <v>282</v>
      </c>
      <c r="G20" s="19" t="s">
        <v>155</v>
      </c>
      <c r="H20" s="19" t="s">
        <v>155</v>
      </c>
    </row>
    <row r="22" spans="1:8" x14ac:dyDescent="0.2">
      <c r="A22" s="21"/>
      <c r="F22" s="22"/>
    </row>
  </sheetData>
  <mergeCells count="1">
    <mergeCell ref="G3:H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8"/>
  <sheetViews>
    <sheetView zoomScaleNormal="100" workbookViewId="0">
      <selection activeCell="A18" sqref="A18"/>
    </sheetView>
  </sheetViews>
  <sheetFormatPr baseColWidth="10" defaultColWidth="8.6640625" defaultRowHeight="15" x14ac:dyDescent="0.2"/>
  <cols>
    <col min="1" max="1" width="44" customWidth="1"/>
    <col min="2" max="2" width="30" customWidth="1"/>
    <col min="3" max="3" width="90" customWidth="1"/>
  </cols>
  <sheetData>
    <row r="1" spans="1:3" ht="18" x14ac:dyDescent="0.2">
      <c r="A1" s="1" t="s">
        <v>283</v>
      </c>
    </row>
    <row r="2" spans="1:3" x14ac:dyDescent="0.2">
      <c r="A2" s="2" t="s">
        <v>284</v>
      </c>
    </row>
    <row r="4" spans="1:3" x14ac:dyDescent="0.2">
      <c r="A4" s="3" t="s">
        <v>285</v>
      </c>
      <c r="B4" s="3" t="s">
        <v>33</v>
      </c>
      <c r="C4" s="3" t="s">
        <v>286</v>
      </c>
    </row>
    <row r="5" spans="1:3" x14ac:dyDescent="0.2">
      <c r="A5" s="6" t="s">
        <v>21</v>
      </c>
      <c r="B5" s="18">
        <v>100</v>
      </c>
      <c r="C5" s="4" t="s">
        <v>287</v>
      </c>
    </row>
    <row r="6" spans="1:3" ht="28" x14ac:dyDescent="0.2">
      <c r="A6" s="6" t="s">
        <v>288</v>
      </c>
      <c r="B6" s="23">
        <v>0.5</v>
      </c>
      <c r="C6" s="4" t="s">
        <v>289</v>
      </c>
    </row>
    <row r="7" spans="1:3" ht="28" x14ac:dyDescent="0.2">
      <c r="A7" s="6" t="s">
        <v>290</v>
      </c>
      <c r="B7" s="18" t="s">
        <v>291</v>
      </c>
      <c r="C7" s="4" t="s">
        <v>292</v>
      </c>
    </row>
    <row r="8" spans="1:3" x14ac:dyDescent="0.2">
      <c r="A8" s="6" t="s">
        <v>293</v>
      </c>
      <c r="B8" s="18">
        <v>5</v>
      </c>
      <c r="C8" s="4" t="s">
        <v>294</v>
      </c>
    </row>
    <row r="9" spans="1:3" x14ac:dyDescent="0.2">
      <c r="A9" s="6" t="s">
        <v>295</v>
      </c>
      <c r="B9" s="18" t="s">
        <v>23</v>
      </c>
      <c r="C9" s="4" t="s">
        <v>296</v>
      </c>
    </row>
    <row r="10" spans="1:3" x14ac:dyDescent="0.2">
      <c r="A10" s="6" t="s">
        <v>297</v>
      </c>
      <c r="B10" s="18">
        <v>10</v>
      </c>
      <c r="C10" s="4" t="s">
        <v>298</v>
      </c>
    </row>
    <row r="11" spans="1:3" x14ac:dyDescent="0.2">
      <c r="A11" s="6" t="s">
        <v>299</v>
      </c>
      <c r="B11" s="18">
        <v>2</v>
      </c>
      <c r="C11" s="4"/>
    </row>
    <row r="12" spans="1:3" x14ac:dyDescent="0.2">
      <c r="A12" s="6" t="s">
        <v>300</v>
      </c>
      <c r="B12" s="18">
        <v>1</v>
      </c>
      <c r="C12" s="4"/>
    </row>
    <row r="13" spans="1:3" x14ac:dyDescent="0.2">
      <c r="A13" s="6" t="s">
        <v>301</v>
      </c>
      <c r="B13" s="18">
        <v>10</v>
      </c>
      <c r="C13" s="4"/>
    </row>
    <row r="14" spans="1:3" ht="28" x14ac:dyDescent="0.2">
      <c r="A14" s="6" t="s">
        <v>302</v>
      </c>
      <c r="B14" s="18" t="s">
        <v>303</v>
      </c>
      <c r="C14" s="4" t="s">
        <v>304</v>
      </c>
    </row>
    <row r="15" spans="1:3" x14ac:dyDescent="0.2">
      <c r="A15" s="6" t="s">
        <v>305</v>
      </c>
      <c r="B15" s="18" t="s">
        <v>306</v>
      </c>
      <c r="C15" s="4" t="s">
        <v>307</v>
      </c>
    </row>
    <row r="16" spans="1:3" x14ac:dyDescent="0.2">
      <c r="A16" s="6" t="s">
        <v>308</v>
      </c>
      <c r="B16" s="18" t="s">
        <v>306</v>
      </c>
      <c r="C16" s="4" t="s">
        <v>307</v>
      </c>
    </row>
    <row r="18" spans="1:3" x14ac:dyDescent="0.2">
      <c r="A18" s="21" t="s">
        <v>309</v>
      </c>
    </row>
    <row r="19" spans="1:3" ht="15" customHeight="1" x14ac:dyDescent="0.2">
      <c r="A19" s="32" t="s">
        <v>310</v>
      </c>
      <c r="B19" s="32"/>
      <c r="C19" s="32"/>
    </row>
    <row r="20" spans="1:3" ht="15" customHeight="1" x14ac:dyDescent="0.2">
      <c r="A20" s="32" t="s">
        <v>311</v>
      </c>
      <c r="B20" s="32"/>
      <c r="C20" s="32"/>
    </row>
    <row r="21" spans="1:3" ht="15" customHeight="1" x14ac:dyDescent="0.2">
      <c r="A21" s="32" t="s">
        <v>312</v>
      </c>
      <c r="B21" s="32"/>
      <c r="C21" s="32"/>
    </row>
    <row r="22" spans="1:3" ht="15" customHeight="1" x14ac:dyDescent="0.2">
      <c r="A22" s="32" t="s">
        <v>313</v>
      </c>
      <c r="B22" s="32"/>
      <c r="C22" s="32"/>
    </row>
    <row r="23" spans="1:3" ht="15" customHeight="1" x14ac:dyDescent="0.2">
      <c r="A23" s="32" t="s">
        <v>314</v>
      </c>
      <c r="B23" s="32"/>
      <c r="C23" s="32"/>
    </row>
    <row r="24" spans="1:3" ht="15" customHeight="1" x14ac:dyDescent="0.2">
      <c r="A24" s="32" t="s">
        <v>315</v>
      </c>
      <c r="B24" s="32"/>
      <c r="C24" s="32"/>
    </row>
    <row r="25" spans="1:3" ht="15" customHeight="1" x14ac:dyDescent="0.2">
      <c r="A25" s="32" t="s">
        <v>316</v>
      </c>
      <c r="B25" s="32"/>
      <c r="C25" s="32"/>
    </row>
    <row r="26" spans="1:3" ht="15" customHeight="1" x14ac:dyDescent="0.2">
      <c r="A26" s="32" t="s">
        <v>317</v>
      </c>
      <c r="B26" s="32"/>
      <c r="C26" s="32"/>
    </row>
    <row r="27" spans="1:3" ht="15" customHeight="1" x14ac:dyDescent="0.2">
      <c r="A27" s="32" t="s">
        <v>318</v>
      </c>
      <c r="B27" s="32"/>
      <c r="C27" s="32"/>
    </row>
    <row r="28" spans="1:3" ht="15" customHeight="1" x14ac:dyDescent="0.2">
      <c r="A28" s="32" t="s">
        <v>319</v>
      </c>
      <c r="B28" s="32"/>
      <c r="C28" s="32"/>
    </row>
    <row r="30" spans="1:3" x14ac:dyDescent="0.2">
      <c r="A30" s="21" t="s">
        <v>320</v>
      </c>
    </row>
    <row r="31" spans="1:3" ht="30" customHeight="1" x14ac:dyDescent="0.2">
      <c r="A31" s="32" t="s">
        <v>321</v>
      </c>
      <c r="B31" s="32"/>
      <c r="C31" s="32"/>
    </row>
    <row r="32" spans="1:3" ht="30" customHeight="1" x14ac:dyDescent="0.2">
      <c r="A32" s="32" t="s">
        <v>322</v>
      </c>
      <c r="B32" s="32"/>
      <c r="C32" s="32"/>
    </row>
    <row r="33" spans="1:3" ht="30" customHeight="1" x14ac:dyDescent="0.2">
      <c r="A33" s="32" t="s">
        <v>323</v>
      </c>
      <c r="B33" s="32"/>
      <c r="C33" s="32"/>
    </row>
    <row r="34" spans="1:3" ht="30" customHeight="1" x14ac:dyDescent="0.2">
      <c r="A34" s="32" t="s">
        <v>324</v>
      </c>
      <c r="B34" s="32"/>
      <c r="C34" s="32"/>
    </row>
    <row r="35" spans="1:3" ht="30" customHeight="1" x14ac:dyDescent="0.2">
      <c r="A35" s="32" t="s">
        <v>325</v>
      </c>
      <c r="B35" s="32"/>
      <c r="C35" s="32"/>
    </row>
    <row r="36" spans="1:3" ht="30" customHeight="1" x14ac:dyDescent="0.2">
      <c r="A36" s="32" t="s">
        <v>326</v>
      </c>
      <c r="B36" s="32"/>
      <c r="C36" s="32"/>
    </row>
    <row r="37" spans="1:3" ht="30" customHeight="1" x14ac:dyDescent="0.2">
      <c r="A37" s="32" t="s">
        <v>327</v>
      </c>
      <c r="B37" s="32"/>
      <c r="C37" s="32"/>
    </row>
    <row r="38" spans="1:3" ht="30" customHeight="1" x14ac:dyDescent="0.2">
      <c r="A38" s="32" t="s">
        <v>328</v>
      </c>
      <c r="B38" s="32"/>
      <c r="C38" s="32"/>
    </row>
  </sheetData>
  <mergeCells count="18">
    <mergeCell ref="A19:C19"/>
    <mergeCell ref="A20:C20"/>
    <mergeCell ref="A21:C21"/>
    <mergeCell ref="A22:C22"/>
    <mergeCell ref="A23:C23"/>
    <mergeCell ref="A24:C24"/>
    <mergeCell ref="A25:C25"/>
    <mergeCell ref="A26:C26"/>
    <mergeCell ref="A27:C27"/>
    <mergeCell ref="A28:C28"/>
    <mergeCell ref="A36:C36"/>
    <mergeCell ref="A37:C37"/>
    <mergeCell ref="A38:C38"/>
    <mergeCell ref="A31:C31"/>
    <mergeCell ref="A32:C32"/>
    <mergeCell ref="A33:C33"/>
    <mergeCell ref="A34:C34"/>
    <mergeCell ref="A35:C3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Листы</vt:lpstr>
      </vt:variant>
      <vt:variant>
        <vt:i4>6</vt:i4>
      </vt:variant>
    </vt:vector>
  </HeadingPairs>
  <TitlesOfParts>
    <vt:vector size="6" baseType="lpstr">
      <vt:lpstr>Города</vt:lpstr>
      <vt:lpstr>Уникальные показатели</vt:lpstr>
      <vt:lpstr>Описания и сигналы</vt:lpstr>
      <vt:lpstr>Меры</vt:lpstr>
      <vt:lpstr>Джокеры</vt:lpstr>
      <vt:lpstr>Правила модели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Ашот Тоноян</cp:lastModifiedBy>
  <cp:revision>0</cp:revision>
  <dcterms:created xsi:type="dcterms:W3CDTF">2026-10-03T13:37:39Z</dcterms:created>
  <dcterms:modified xsi:type="dcterms:W3CDTF">2026-10-04T12:15:58Z</dcterms:modified>
  <dc:language>en-US</dc:language>
</cp:coreProperties>
</file>